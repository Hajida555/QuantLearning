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练习\"/>
    </mc:Choice>
  </mc:AlternateContent>
  <xr:revisionPtr revIDLastSave="0" documentId="13_ncr:1_{0FB05414-3737-416B-A8BA-3D23F9B4AA9B}" xr6:coauthVersionLast="47" xr6:coauthVersionMax="47" xr10:uidLastSave="{00000000-0000-0000-0000-000000000000}"/>
  <bookViews>
    <workbookView xWindow="-110" yWindow="-110" windowWidth="25820" windowHeight="16220" activeTab="3" xr2:uid="{75AFA7BF-32F1-4705-8813-4AD98F41CF36}"/>
  </bookViews>
  <sheets>
    <sheet name="颜色分段折线图" sheetId="1" r:id="rId1"/>
    <sheet name="区间拓展折线图" sheetId="2" r:id="rId2"/>
    <sheet name="对比折线图" sheetId="3" r:id="rId3"/>
    <sheet name="比率折线图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 a="1"/>
  <c r="N4" i="4" s="1"/>
  <c r="N5" i="4" a="1"/>
  <c r="N5" i="4" s="1"/>
  <c r="N6" i="4" a="1"/>
  <c r="N6" i="4" s="1"/>
  <c r="M5" i="4"/>
  <c r="M6" i="4"/>
  <c r="M4" i="4"/>
  <c r="K6" i="4"/>
  <c r="K4" i="4"/>
  <c r="I5" i="4" l="1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5" i="4"/>
  <c r="H6" i="4"/>
  <c r="H7" i="4"/>
  <c r="H8" i="4"/>
  <c r="H9" i="4"/>
  <c r="I4" i="4"/>
  <c r="J4" i="4"/>
  <c r="H4" i="4"/>
  <c r="A4" i="4" a="1"/>
  <c r="A4" i="4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4" i="3"/>
  <c r="E4" i="3"/>
  <c r="A4" i="3" a="1"/>
  <c r="A4" i="3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3" i="2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/>
  <c r="E230" i="1" a="1"/>
  <c r="E230" i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/>
  <c r="E430" i="1" a="1"/>
  <c r="E430" i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/>
  <c r="E446" i="1" a="1"/>
  <c r="E446" i="1"/>
  <c r="E6" i="1" a="1"/>
  <c r="E6" i="1"/>
  <c r="D446" i="1"/>
  <c r="D6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71" i="1"/>
  <c r="C70" i="1"/>
  <c r="D69" i="1"/>
  <c r="D72" i="1"/>
  <c r="D70" i="1"/>
  <c r="D57" i="1"/>
  <c r="D58" i="1"/>
  <c r="D59" i="1"/>
  <c r="D60" i="1"/>
  <c r="D61" i="1"/>
  <c r="D62" i="1"/>
  <c r="D63" i="1"/>
  <c r="D64" i="1"/>
  <c r="D65" i="1"/>
  <c r="D66" i="1"/>
  <c r="D67" i="1"/>
  <c r="D68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C60" i="1"/>
  <c r="C61" i="1"/>
  <c r="C62" i="1"/>
  <c r="C63" i="1"/>
  <c r="C64" i="1"/>
  <c r="C65" i="1"/>
  <c r="C66" i="1"/>
  <c r="C67" i="1"/>
  <c r="C68" i="1"/>
  <c r="C69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" i="1"/>
  <c r="F4" i="1"/>
  <c r="D4" i="1"/>
  <c r="C7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<sst xmlns="http://schemas.openxmlformats.org/spreadsheetml/2006/main" count="79" uniqueCount="61">
  <si>
    <t>数字化数据源：</t>
    <phoneticPr fontId="1" type="noConversion"/>
  </si>
  <si>
    <t>Time</t>
    <phoneticPr fontId="1" type="noConversion"/>
  </si>
  <si>
    <t>Percentage</t>
    <phoneticPr fontId="1" type="noConversion"/>
  </si>
  <si>
    <t>条件分段系列</t>
    <phoneticPr fontId="1" type="noConversion"/>
  </si>
  <si>
    <t>辅助堆积柱形图数据及控制参数</t>
    <phoneticPr fontId="1" type="noConversion"/>
  </si>
  <si>
    <t>Threshold</t>
    <phoneticPr fontId="1" type="noConversion"/>
  </si>
  <si>
    <t>NotValue</t>
    <phoneticPr fontId="1" type="noConversion"/>
  </si>
  <si>
    <t>Start</t>
    <phoneticPr fontId="1" type="noConversion"/>
  </si>
  <si>
    <t>End</t>
    <phoneticPr fontId="1" type="noConversion"/>
  </si>
  <si>
    <t>NegHeight</t>
    <phoneticPr fontId="1" type="noConversion"/>
  </si>
  <si>
    <t>CapHeight</t>
    <phoneticPr fontId="1" type="noConversion"/>
  </si>
  <si>
    <t>Postive</t>
    <phoneticPr fontId="1" type="noConversion"/>
  </si>
  <si>
    <t>Negative</t>
    <phoneticPr fontId="1" type="noConversion"/>
  </si>
  <si>
    <t>Slot</t>
    <phoneticPr fontId="1" type="noConversion"/>
  </si>
  <si>
    <t>valuePos</t>
    <phoneticPr fontId="1" type="noConversion"/>
  </si>
  <si>
    <t>valueNeg</t>
    <phoneticPr fontId="1" type="noConversion"/>
  </si>
  <si>
    <t>valueCap</t>
    <phoneticPr fontId="1" type="noConversion"/>
  </si>
  <si>
    <t>数据源(数值化):</t>
    <phoneticPr fontId="1" type="noConversion"/>
  </si>
  <si>
    <t>year</t>
    <phoneticPr fontId="1" type="noConversion"/>
  </si>
  <si>
    <t>Low</t>
    <phoneticPr fontId="1" type="noConversion"/>
  </si>
  <si>
    <t>Medium</t>
    <phoneticPr fontId="1" type="noConversion"/>
  </si>
  <si>
    <t>High</t>
    <phoneticPr fontId="1" type="noConversion"/>
  </si>
  <si>
    <t>Higherbiund</t>
    <phoneticPr fontId="1" type="noConversion"/>
  </si>
  <si>
    <t>Median</t>
    <phoneticPr fontId="1" type="noConversion"/>
  </si>
  <si>
    <t>Lowerbound</t>
    <phoneticPr fontId="1" type="noConversion"/>
  </si>
  <si>
    <t>Aux1</t>
    <phoneticPr fontId="1" type="noConversion"/>
  </si>
  <si>
    <t>原始数据(主要作图数据):</t>
    <phoneticPr fontId="1" type="noConversion"/>
  </si>
  <si>
    <t>序号</t>
    <phoneticPr fontId="1" type="noConversion"/>
  </si>
  <si>
    <t>时间</t>
    <phoneticPr fontId="1" type="noConversion"/>
  </si>
  <si>
    <t>系列1</t>
    <phoneticPr fontId="1" type="noConversion"/>
  </si>
  <si>
    <t>系列2</t>
    <phoneticPr fontId="1" type="noConversion"/>
  </si>
  <si>
    <t>No.</t>
    <phoneticPr fontId="1" type="noConversion"/>
  </si>
  <si>
    <t>FTSE</t>
    <phoneticPr fontId="1" type="noConversion"/>
  </si>
  <si>
    <t>Real corporate</t>
    <phoneticPr fontId="1" type="noConversion"/>
  </si>
  <si>
    <t>辅助作图数据</t>
    <phoneticPr fontId="1" type="noConversion"/>
  </si>
  <si>
    <t>架空基础</t>
    <phoneticPr fontId="1" type="noConversion"/>
  </si>
  <si>
    <t>对比差值</t>
    <phoneticPr fontId="1" type="noConversion"/>
  </si>
  <si>
    <t>对比线</t>
    <phoneticPr fontId="1" type="noConversion"/>
  </si>
  <si>
    <t>base</t>
    <phoneticPr fontId="1" type="noConversion"/>
  </si>
  <si>
    <t>differencal1</t>
    <phoneticPr fontId="1" type="noConversion"/>
  </si>
  <si>
    <t>zeroline</t>
    <phoneticPr fontId="1" type="noConversion"/>
  </si>
  <si>
    <t>原始数据(主要作图数据)</t>
    <phoneticPr fontId="1" type="noConversion"/>
  </si>
  <si>
    <t>系列3</t>
    <phoneticPr fontId="1" type="noConversion"/>
  </si>
  <si>
    <t>Manchester</t>
    <phoneticPr fontId="1" type="noConversion"/>
  </si>
  <si>
    <t>Rest of England</t>
    <phoneticPr fontId="1" type="noConversion"/>
  </si>
  <si>
    <t>London</t>
    <phoneticPr fontId="1" type="noConversion"/>
  </si>
  <si>
    <t>折线图作图数据（进行数值的标准化）</t>
    <phoneticPr fontId="1" type="noConversion"/>
  </si>
  <si>
    <t>对比线作图数据 附加维度作图数据</t>
    <phoneticPr fontId="1" type="noConversion"/>
  </si>
  <si>
    <t>坐标与长度</t>
    <phoneticPr fontId="1" type="noConversion"/>
  </si>
  <si>
    <t>附加系列</t>
    <phoneticPr fontId="1" type="noConversion"/>
  </si>
  <si>
    <t>坐标位置</t>
    <phoneticPr fontId="1" type="noConversion"/>
  </si>
  <si>
    <t>标签数值</t>
    <phoneticPr fontId="1" type="noConversion"/>
  </si>
  <si>
    <t>x</t>
    <phoneticPr fontId="1" type="noConversion"/>
  </si>
  <si>
    <t>y</t>
    <phoneticPr fontId="1" type="noConversion"/>
  </si>
  <si>
    <t>lengh_errorbar</t>
    <phoneticPr fontId="1" type="noConversion"/>
  </si>
  <si>
    <t>series+</t>
    <phoneticPr fontId="1" type="noConversion"/>
  </si>
  <si>
    <t>London+</t>
    <phoneticPr fontId="1" type="noConversion"/>
  </si>
  <si>
    <t>Manchetser+</t>
    <phoneticPr fontId="1" type="noConversion"/>
  </si>
  <si>
    <t>Rest of England+</t>
    <phoneticPr fontId="1" type="noConversion"/>
  </si>
  <si>
    <t>margin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</si>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</sst>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8"/>
      <color rgb="FF000000"/>
      <name val="Segoe UI"/>
      <family val="2"/>
    </font>
    <font>
      <b/>
      <sz val="16"/>
      <color theme="1"/>
      <name val="等线"/>
      <family val="3"/>
      <charset val="134"/>
      <scheme val="minor"/>
    </font>
    <font>
      <sz val="11"/>
      <color rgb="FFF5F5F2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3E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2" tint="-0.49998474074526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 wrapText="1" inden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5" fillId="0" borderId="2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DC3C7"/>
      <color rgb="FF2C3E50"/>
      <color rgb="FFB71C1C"/>
      <color rgb="FF8E24AA"/>
      <color rgb="FFF5F5F2"/>
      <color rgb="FF607D8B"/>
      <color rgb="FF110655"/>
      <color rgb="FF7F8C8D"/>
      <color rgb="FFEA78E3"/>
      <color rgb="FFDAC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928100790510634E-2"/>
          <c:y val="6.8965500958457548E-2"/>
          <c:w val="0.90952939535048771"/>
          <c:h val="0.86806599816642904"/>
        </c:manualLayout>
      </c:layout>
      <c:barChart>
        <c:barDir val="col"/>
        <c:grouping val="stacked"/>
        <c:varyColors val="0"/>
        <c:ser>
          <c:idx val="4"/>
          <c:order val="4"/>
          <c:tx>
            <c:strRef>
              <c:f>颜色分段折线图!$F$5</c:f>
              <c:strCache>
                <c:ptCount val="1"/>
                <c:pt idx="0">
                  <c:v>valuePos</c:v>
                </c:pt>
              </c:strCache>
            </c:strRef>
          </c:tx>
          <c:spPr>
            <a:solidFill>
              <a:srgbClr val="BDC3C7"/>
            </a:solidFill>
            <a:ln w="25400">
              <a:noFill/>
            </a:ln>
            <a:effectLst/>
          </c:spPr>
          <c:invertIfNegative val="0"/>
          <c:cat>
            <c:numRef>
              <c:f>颜色分段折线图!$E$6:$E$446</c:f>
              <c:numCache>
                <c:formatCode>0.00_ </c:formatCode>
                <c:ptCount val="441"/>
                <c:pt idx="0">
                  <c:v>1986</c:v>
                </c:pt>
                <c:pt idx="1">
                  <c:v>1986.0770681818183</c:v>
                </c:pt>
                <c:pt idx="2">
                  <c:v>1986.1541363636363</c:v>
                </c:pt>
                <c:pt idx="3">
                  <c:v>1986.2312045454546</c:v>
                </c:pt>
                <c:pt idx="4">
                  <c:v>1986.3082727272727</c:v>
                </c:pt>
                <c:pt idx="5">
                  <c:v>1986.3853409090909</c:v>
                </c:pt>
                <c:pt idx="6">
                  <c:v>1986.4624090909092</c:v>
                </c:pt>
                <c:pt idx="7">
                  <c:v>1986.5394772727273</c:v>
                </c:pt>
                <c:pt idx="8">
                  <c:v>1986.6165454545455</c:v>
                </c:pt>
                <c:pt idx="9">
                  <c:v>1986.6936136363636</c:v>
                </c:pt>
                <c:pt idx="10">
                  <c:v>1986.7706818181819</c:v>
                </c:pt>
                <c:pt idx="11">
                  <c:v>1986.8477499999999</c:v>
                </c:pt>
                <c:pt idx="12">
                  <c:v>1986.9248181818182</c:v>
                </c:pt>
                <c:pt idx="13">
                  <c:v>1987.0018863636365</c:v>
                </c:pt>
                <c:pt idx="14">
                  <c:v>1987.0789545454545</c:v>
                </c:pt>
                <c:pt idx="15">
                  <c:v>1987.1560227272728</c:v>
                </c:pt>
                <c:pt idx="16">
                  <c:v>1987.2330909090908</c:v>
                </c:pt>
                <c:pt idx="17">
                  <c:v>1987.3101590909091</c:v>
                </c:pt>
                <c:pt idx="18">
                  <c:v>1987.3872272727274</c:v>
                </c:pt>
                <c:pt idx="19">
                  <c:v>1987.4642954545454</c:v>
                </c:pt>
                <c:pt idx="20">
                  <c:v>1987.5413636363637</c:v>
                </c:pt>
                <c:pt idx="21">
                  <c:v>1987.6184318181818</c:v>
                </c:pt>
                <c:pt idx="22">
                  <c:v>1987.6955</c:v>
                </c:pt>
                <c:pt idx="23">
                  <c:v>1987.7725681818181</c:v>
                </c:pt>
                <c:pt idx="24">
                  <c:v>1987.8496363636364</c:v>
                </c:pt>
                <c:pt idx="25">
                  <c:v>1987.9267045454546</c:v>
                </c:pt>
                <c:pt idx="26">
                  <c:v>1988.0037727272727</c:v>
                </c:pt>
                <c:pt idx="27">
                  <c:v>1988.080840909091</c:v>
                </c:pt>
                <c:pt idx="28">
                  <c:v>1988.157909090909</c:v>
                </c:pt>
                <c:pt idx="29">
                  <c:v>1988.2349772727273</c:v>
                </c:pt>
                <c:pt idx="30">
                  <c:v>1988.3120454545456</c:v>
                </c:pt>
                <c:pt idx="31">
                  <c:v>1988.3891136363636</c:v>
                </c:pt>
                <c:pt idx="32">
                  <c:v>1988.4661818181819</c:v>
                </c:pt>
                <c:pt idx="33">
                  <c:v>1988.5432499999999</c:v>
                </c:pt>
                <c:pt idx="34">
                  <c:v>1988.6203181818182</c:v>
                </c:pt>
                <c:pt idx="35">
                  <c:v>1988.6973863636363</c:v>
                </c:pt>
                <c:pt idx="36">
                  <c:v>1988.7744545454545</c:v>
                </c:pt>
                <c:pt idx="37">
                  <c:v>1988.8515227272728</c:v>
                </c:pt>
                <c:pt idx="38">
                  <c:v>1988.9285909090909</c:v>
                </c:pt>
                <c:pt idx="39">
                  <c:v>1989.0056590909091</c:v>
                </c:pt>
                <c:pt idx="40">
                  <c:v>1989.0827272727272</c:v>
                </c:pt>
                <c:pt idx="41">
                  <c:v>1989.1597954545455</c:v>
                </c:pt>
                <c:pt idx="42">
                  <c:v>1989.2368636363638</c:v>
                </c:pt>
                <c:pt idx="43">
                  <c:v>1989.3139318181818</c:v>
                </c:pt>
                <c:pt idx="44">
                  <c:v>1989.3910000000001</c:v>
                </c:pt>
                <c:pt idx="45">
                  <c:v>1989.4680681818181</c:v>
                </c:pt>
                <c:pt idx="46">
                  <c:v>1989.5451363636364</c:v>
                </c:pt>
                <c:pt idx="47">
                  <c:v>1989.6222045454545</c:v>
                </c:pt>
                <c:pt idx="48">
                  <c:v>1989.6992727272727</c:v>
                </c:pt>
                <c:pt idx="49">
                  <c:v>1989.776340909091</c:v>
                </c:pt>
                <c:pt idx="50">
                  <c:v>1989.8534090909091</c:v>
                </c:pt>
                <c:pt idx="51">
                  <c:v>1989.9304772727273</c:v>
                </c:pt>
                <c:pt idx="52">
                  <c:v>1990.0075454545454</c:v>
                </c:pt>
                <c:pt idx="53">
                  <c:v>1990.0846136363637</c:v>
                </c:pt>
                <c:pt idx="54">
                  <c:v>1990.1616818181819</c:v>
                </c:pt>
                <c:pt idx="55">
                  <c:v>1990.23875</c:v>
                </c:pt>
                <c:pt idx="56">
                  <c:v>1990.3158181818183</c:v>
                </c:pt>
                <c:pt idx="57">
                  <c:v>1990.3928863636363</c:v>
                </c:pt>
                <c:pt idx="58">
                  <c:v>1990.4699545454546</c:v>
                </c:pt>
                <c:pt idx="59">
                  <c:v>1990.5470227272726</c:v>
                </c:pt>
                <c:pt idx="60">
                  <c:v>1990.6240909090909</c:v>
                </c:pt>
                <c:pt idx="61">
                  <c:v>1990.7011590909092</c:v>
                </c:pt>
                <c:pt idx="62">
                  <c:v>1990.7782272727272</c:v>
                </c:pt>
                <c:pt idx="63">
                  <c:v>1990.8552954545455</c:v>
                </c:pt>
                <c:pt idx="64">
                  <c:v>1990.9323636363636</c:v>
                </c:pt>
                <c:pt idx="65">
                  <c:v>1991.0094318181818</c:v>
                </c:pt>
                <c:pt idx="66">
                  <c:v>1991.0865000000001</c:v>
                </c:pt>
                <c:pt idx="67">
                  <c:v>1991.1635681818182</c:v>
                </c:pt>
                <c:pt idx="68">
                  <c:v>1991.2406363636364</c:v>
                </c:pt>
                <c:pt idx="69">
                  <c:v>1991.3177045454545</c:v>
                </c:pt>
                <c:pt idx="70">
                  <c:v>1991.3947727272728</c:v>
                </c:pt>
                <c:pt idx="71">
                  <c:v>1991.4718409090908</c:v>
                </c:pt>
                <c:pt idx="72">
                  <c:v>1991.5489090909091</c:v>
                </c:pt>
                <c:pt idx="73">
                  <c:v>1991.6259772727274</c:v>
                </c:pt>
                <c:pt idx="74">
                  <c:v>1991.7030454545454</c:v>
                </c:pt>
                <c:pt idx="75">
                  <c:v>1991.7801136363637</c:v>
                </c:pt>
                <c:pt idx="76">
                  <c:v>1991.8571818181817</c:v>
                </c:pt>
                <c:pt idx="77">
                  <c:v>1991.93425</c:v>
                </c:pt>
                <c:pt idx="78">
                  <c:v>1992.0113181818183</c:v>
                </c:pt>
                <c:pt idx="79">
                  <c:v>1992.0883863636363</c:v>
                </c:pt>
                <c:pt idx="80">
                  <c:v>1992.1654545454546</c:v>
                </c:pt>
                <c:pt idx="81">
                  <c:v>1992.2425227272727</c:v>
                </c:pt>
                <c:pt idx="82">
                  <c:v>1992.3195909090909</c:v>
                </c:pt>
                <c:pt idx="83">
                  <c:v>1992.396659090909</c:v>
                </c:pt>
                <c:pt idx="84">
                  <c:v>1992.4737272727273</c:v>
                </c:pt>
                <c:pt idx="85">
                  <c:v>1992.5507954545456</c:v>
                </c:pt>
                <c:pt idx="86">
                  <c:v>1992.6278636363636</c:v>
                </c:pt>
                <c:pt idx="87">
                  <c:v>1992.7049318181819</c:v>
                </c:pt>
                <c:pt idx="88">
                  <c:v>1992.7819999999999</c:v>
                </c:pt>
                <c:pt idx="89">
                  <c:v>1992.8590681818182</c:v>
                </c:pt>
                <c:pt idx="90">
                  <c:v>1992.9361363636365</c:v>
                </c:pt>
                <c:pt idx="91">
                  <c:v>1993.0132045454545</c:v>
                </c:pt>
                <c:pt idx="92">
                  <c:v>1993.0902727272728</c:v>
                </c:pt>
                <c:pt idx="93">
                  <c:v>1993.1673409090909</c:v>
                </c:pt>
                <c:pt idx="94">
                  <c:v>1993.2444090909091</c:v>
                </c:pt>
                <c:pt idx="95">
                  <c:v>1993.3214772727272</c:v>
                </c:pt>
                <c:pt idx="96">
                  <c:v>1993.3985454545455</c:v>
                </c:pt>
                <c:pt idx="97">
                  <c:v>1993.4756136363637</c:v>
                </c:pt>
                <c:pt idx="98">
                  <c:v>1993.5526818181818</c:v>
                </c:pt>
                <c:pt idx="99">
                  <c:v>1993.6297500000001</c:v>
                </c:pt>
                <c:pt idx="100">
                  <c:v>1993.7068181818181</c:v>
                </c:pt>
                <c:pt idx="101">
                  <c:v>1993.7838863636364</c:v>
                </c:pt>
                <c:pt idx="102">
                  <c:v>1993.8609545454547</c:v>
                </c:pt>
                <c:pt idx="103">
                  <c:v>1993.9380227272727</c:v>
                </c:pt>
                <c:pt idx="104">
                  <c:v>1994.015090909091</c:v>
                </c:pt>
                <c:pt idx="105">
                  <c:v>1994.092159090909</c:v>
                </c:pt>
                <c:pt idx="106">
                  <c:v>1994.1692272727273</c:v>
                </c:pt>
                <c:pt idx="107">
                  <c:v>1994.2462954545454</c:v>
                </c:pt>
                <c:pt idx="108">
                  <c:v>1994.3233636363636</c:v>
                </c:pt>
                <c:pt idx="109">
                  <c:v>1994.4004318181819</c:v>
                </c:pt>
                <c:pt idx="110">
                  <c:v>1994.4775</c:v>
                </c:pt>
                <c:pt idx="111">
                  <c:v>1994.5545681818182</c:v>
                </c:pt>
                <c:pt idx="112">
                  <c:v>1994.6316363636363</c:v>
                </c:pt>
                <c:pt idx="113">
                  <c:v>1994.7087045454546</c:v>
                </c:pt>
                <c:pt idx="114">
                  <c:v>1994.7857727272728</c:v>
                </c:pt>
                <c:pt idx="115">
                  <c:v>1994.8628409090909</c:v>
                </c:pt>
                <c:pt idx="116">
                  <c:v>1994.9399090909092</c:v>
                </c:pt>
                <c:pt idx="117">
                  <c:v>1995.0169772727272</c:v>
                </c:pt>
                <c:pt idx="118">
                  <c:v>1995.0940454545455</c:v>
                </c:pt>
                <c:pt idx="119">
                  <c:v>1995.1711136363638</c:v>
                </c:pt>
                <c:pt idx="120">
                  <c:v>1995.2481818181818</c:v>
                </c:pt>
                <c:pt idx="121">
                  <c:v>1995.3252500000001</c:v>
                </c:pt>
                <c:pt idx="122">
                  <c:v>1995.4023181818181</c:v>
                </c:pt>
                <c:pt idx="123">
                  <c:v>1995.4793863636364</c:v>
                </c:pt>
                <c:pt idx="124">
                  <c:v>1995.5564545454545</c:v>
                </c:pt>
                <c:pt idx="125">
                  <c:v>1995.6335227272727</c:v>
                </c:pt>
                <c:pt idx="126">
                  <c:v>1995.710590909091</c:v>
                </c:pt>
                <c:pt idx="127">
                  <c:v>1995.7876590909091</c:v>
                </c:pt>
                <c:pt idx="128">
                  <c:v>1995.8647272727274</c:v>
                </c:pt>
                <c:pt idx="129">
                  <c:v>1995.9417954545454</c:v>
                </c:pt>
                <c:pt idx="130">
                  <c:v>1996.0188636363637</c:v>
                </c:pt>
                <c:pt idx="131">
                  <c:v>1996.095931818182</c:v>
                </c:pt>
                <c:pt idx="132">
                  <c:v>1996.173</c:v>
                </c:pt>
                <c:pt idx="133">
                  <c:v>1996.2500681818183</c:v>
                </c:pt>
                <c:pt idx="134">
                  <c:v>1996.3271363636363</c:v>
                </c:pt>
                <c:pt idx="135">
                  <c:v>1996.4042045454546</c:v>
                </c:pt>
                <c:pt idx="136">
                  <c:v>1996.4812727272727</c:v>
                </c:pt>
                <c:pt idx="137">
                  <c:v>1996.5583409090909</c:v>
                </c:pt>
                <c:pt idx="138">
                  <c:v>1996.6354090909092</c:v>
                </c:pt>
                <c:pt idx="139">
                  <c:v>1996.7124772727273</c:v>
                </c:pt>
                <c:pt idx="140">
                  <c:v>1996.7895454545455</c:v>
                </c:pt>
                <c:pt idx="141">
                  <c:v>1996.8666136363636</c:v>
                </c:pt>
                <c:pt idx="142">
                  <c:v>1996.9436818181819</c:v>
                </c:pt>
                <c:pt idx="143">
                  <c:v>1997.0207500000001</c:v>
                </c:pt>
                <c:pt idx="144">
                  <c:v>1997.0978181818182</c:v>
                </c:pt>
                <c:pt idx="145">
                  <c:v>1997.1748863636365</c:v>
                </c:pt>
                <c:pt idx="146">
                  <c:v>1997.2519545454545</c:v>
                </c:pt>
                <c:pt idx="147">
                  <c:v>1997.3290227272728</c:v>
                </c:pt>
                <c:pt idx="148">
                  <c:v>1997.4060909090908</c:v>
                </c:pt>
                <c:pt idx="149">
                  <c:v>1997.4831590909091</c:v>
                </c:pt>
                <c:pt idx="150">
                  <c:v>1997.5602272727274</c:v>
                </c:pt>
                <c:pt idx="151">
                  <c:v>1997.6372954545454</c:v>
                </c:pt>
                <c:pt idx="152">
                  <c:v>1997.7143636363637</c:v>
                </c:pt>
                <c:pt idx="153">
                  <c:v>1997.7914318181818</c:v>
                </c:pt>
                <c:pt idx="154">
                  <c:v>1997.8685</c:v>
                </c:pt>
                <c:pt idx="155">
                  <c:v>1997.9455681818183</c:v>
                </c:pt>
                <c:pt idx="156">
                  <c:v>1998.0226363636364</c:v>
                </c:pt>
                <c:pt idx="157">
                  <c:v>1998.0997045454546</c:v>
                </c:pt>
                <c:pt idx="158">
                  <c:v>1998.1767727272727</c:v>
                </c:pt>
                <c:pt idx="159">
                  <c:v>1998.253840909091</c:v>
                </c:pt>
                <c:pt idx="160">
                  <c:v>1998.330909090909</c:v>
                </c:pt>
                <c:pt idx="161">
                  <c:v>1998.4079772727273</c:v>
                </c:pt>
                <c:pt idx="162">
                  <c:v>1998.4850454545456</c:v>
                </c:pt>
                <c:pt idx="163">
                  <c:v>1998.5621136363636</c:v>
                </c:pt>
                <c:pt idx="164">
                  <c:v>1998.6391818181819</c:v>
                </c:pt>
                <c:pt idx="165">
                  <c:v>1998.7162499999999</c:v>
                </c:pt>
                <c:pt idx="166">
                  <c:v>1998.7933181818182</c:v>
                </c:pt>
                <c:pt idx="167">
                  <c:v>1998.8703863636365</c:v>
                </c:pt>
                <c:pt idx="168">
                  <c:v>1998.9474545454545</c:v>
                </c:pt>
                <c:pt idx="169">
                  <c:v>1999.0245227272728</c:v>
                </c:pt>
                <c:pt idx="170">
                  <c:v>1999.1015909090909</c:v>
                </c:pt>
                <c:pt idx="171">
                  <c:v>1999.1786590909092</c:v>
                </c:pt>
                <c:pt idx="172">
                  <c:v>1999.2557272727272</c:v>
                </c:pt>
                <c:pt idx="173">
                  <c:v>1999.3327954545455</c:v>
                </c:pt>
                <c:pt idx="174">
                  <c:v>1999.4098636363638</c:v>
                </c:pt>
                <c:pt idx="175">
                  <c:v>1999.4869318181818</c:v>
                </c:pt>
                <c:pt idx="176">
                  <c:v>1999.5640000000001</c:v>
                </c:pt>
                <c:pt idx="177">
                  <c:v>1999.6410681818181</c:v>
                </c:pt>
                <c:pt idx="178">
                  <c:v>1999.7181363636364</c:v>
                </c:pt>
                <c:pt idx="179">
                  <c:v>1999.7952045454547</c:v>
                </c:pt>
                <c:pt idx="180">
                  <c:v>1999.8722727272727</c:v>
                </c:pt>
                <c:pt idx="181">
                  <c:v>1999.949340909091</c:v>
                </c:pt>
                <c:pt idx="182">
                  <c:v>2000.0264090909091</c:v>
                </c:pt>
                <c:pt idx="183">
                  <c:v>2000.1034772727273</c:v>
                </c:pt>
                <c:pt idx="184">
                  <c:v>2000.1805454545454</c:v>
                </c:pt>
                <c:pt idx="185">
                  <c:v>2000.2576136363637</c:v>
                </c:pt>
                <c:pt idx="186">
                  <c:v>2000.3346818181819</c:v>
                </c:pt>
                <c:pt idx="187">
                  <c:v>2000.41175</c:v>
                </c:pt>
                <c:pt idx="188">
                  <c:v>2000.4888181818183</c:v>
                </c:pt>
                <c:pt idx="189">
                  <c:v>2000.5658863636363</c:v>
                </c:pt>
                <c:pt idx="190">
                  <c:v>2000.6429545454546</c:v>
                </c:pt>
                <c:pt idx="191">
                  <c:v>2000.7200227272729</c:v>
                </c:pt>
                <c:pt idx="192">
                  <c:v>2000.7970909090909</c:v>
                </c:pt>
                <c:pt idx="193">
                  <c:v>2000.8741590909092</c:v>
                </c:pt>
                <c:pt idx="194">
                  <c:v>2000.9512272727272</c:v>
                </c:pt>
                <c:pt idx="195">
                  <c:v>2001.0282954545455</c:v>
                </c:pt>
                <c:pt idx="196">
                  <c:v>2001.1053636363636</c:v>
                </c:pt>
                <c:pt idx="197">
                  <c:v>2001.1824318181818</c:v>
                </c:pt>
                <c:pt idx="198">
                  <c:v>2001.2595000000001</c:v>
                </c:pt>
                <c:pt idx="199">
                  <c:v>2001.3365681818182</c:v>
                </c:pt>
                <c:pt idx="200">
                  <c:v>2001.4136363636364</c:v>
                </c:pt>
                <c:pt idx="201">
                  <c:v>2001.4907045454545</c:v>
                </c:pt>
                <c:pt idx="202">
                  <c:v>2001.5677727272728</c:v>
                </c:pt>
                <c:pt idx="203">
                  <c:v>2001.644840909091</c:v>
                </c:pt>
                <c:pt idx="204">
                  <c:v>2001.7219090909091</c:v>
                </c:pt>
                <c:pt idx="205">
                  <c:v>2001.7989772727274</c:v>
                </c:pt>
                <c:pt idx="206">
                  <c:v>2001.8760454545454</c:v>
                </c:pt>
                <c:pt idx="207">
                  <c:v>2001.9531136363637</c:v>
                </c:pt>
                <c:pt idx="208">
                  <c:v>2002.030181818182</c:v>
                </c:pt>
                <c:pt idx="209">
                  <c:v>2002.10725</c:v>
                </c:pt>
                <c:pt idx="210">
                  <c:v>2002.1843181818183</c:v>
                </c:pt>
                <c:pt idx="211">
                  <c:v>2002.2613863636363</c:v>
                </c:pt>
                <c:pt idx="212">
                  <c:v>2002.3384545454546</c:v>
                </c:pt>
                <c:pt idx="213">
                  <c:v>2002.4155227272727</c:v>
                </c:pt>
                <c:pt idx="214">
                  <c:v>2002.4925909090909</c:v>
                </c:pt>
                <c:pt idx="215">
                  <c:v>2002.5696590909092</c:v>
                </c:pt>
                <c:pt idx="216">
                  <c:v>2002.6467272727273</c:v>
                </c:pt>
                <c:pt idx="217">
                  <c:v>2002.7237954545456</c:v>
                </c:pt>
                <c:pt idx="218">
                  <c:v>2002.8008636363636</c:v>
                </c:pt>
                <c:pt idx="219">
                  <c:v>2002.8779318181819</c:v>
                </c:pt>
                <c:pt idx="220">
                  <c:v>2002.9549999999999</c:v>
                </c:pt>
                <c:pt idx="221">
                  <c:v>2003.0320681818182</c:v>
                </c:pt>
                <c:pt idx="222">
                  <c:v>2003.1091363636365</c:v>
                </c:pt>
                <c:pt idx="223">
                  <c:v>2003.1862045454545</c:v>
                </c:pt>
                <c:pt idx="224">
                  <c:v>2003.2632727272728</c:v>
                </c:pt>
                <c:pt idx="225">
                  <c:v>2003.3403409090909</c:v>
                </c:pt>
                <c:pt idx="226">
                  <c:v>2003.4174090909091</c:v>
                </c:pt>
                <c:pt idx="227">
                  <c:v>2003.4944772727274</c:v>
                </c:pt>
                <c:pt idx="228">
                  <c:v>2003.5715454545455</c:v>
                </c:pt>
                <c:pt idx="229">
                  <c:v>2003.6486136363637</c:v>
                </c:pt>
                <c:pt idx="230">
                  <c:v>2003.7256818181818</c:v>
                </c:pt>
                <c:pt idx="231">
                  <c:v>2003.8027500000001</c:v>
                </c:pt>
                <c:pt idx="232">
                  <c:v>2003.8798181818183</c:v>
                </c:pt>
                <c:pt idx="233">
                  <c:v>2003.9568863636364</c:v>
                </c:pt>
                <c:pt idx="234">
                  <c:v>2004.0339545454547</c:v>
                </c:pt>
                <c:pt idx="235">
                  <c:v>2004.1110227272727</c:v>
                </c:pt>
                <c:pt idx="236">
                  <c:v>2004.188090909091</c:v>
                </c:pt>
                <c:pt idx="237">
                  <c:v>2004.265159090909</c:v>
                </c:pt>
                <c:pt idx="238">
                  <c:v>2004.3422272727273</c:v>
                </c:pt>
                <c:pt idx="239">
                  <c:v>2004.4192954545456</c:v>
                </c:pt>
                <c:pt idx="240">
                  <c:v>2004.4963636363636</c:v>
                </c:pt>
                <c:pt idx="241">
                  <c:v>2004.5734318181819</c:v>
                </c:pt>
                <c:pt idx="242">
                  <c:v>2004.6505</c:v>
                </c:pt>
                <c:pt idx="243">
                  <c:v>2004.7275681818182</c:v>
                </c:pt>
                <c:pt idx="244">
                  <c:v>2004.8046363636365</c:v>
                </c:pt>
                <c:pt idx="245">
                  <c:v>2004.8817045454546</c:v>
                </c:pt>
                <c:pt idx="246">
                  <c:v>2004.9587727272728</c:v>
                </c:pt>
                <c:pt idx="247">
                  <c:v>2005.0358409090909</c:v>
                </c:pt>
                <c:pt idx="248">
                  <c:v>2005.1129090909092</c:v>
                </c:pt>
                <c:pt idx="249">
                  <c:v>2005.1899772727272</c:v>
                </c:pt>
                <c:pt idx="250">
                  <c:v>2005.2670454545455</c:v>
                </c:pt>
                <c:pt idx="251">
                  <c:v>2005.3441136363638</c:v>
                </c:pt>
                <c:pt idx="252">
                  <c:v>2005.4211818181818</c:v>
                </c:pt>
                <c:pt idx="253">
                  <c:v>2005.4982500000001</c:v>
                </c:pt>
                <c:pt idx="254">
                  <c:v>2005.5753181818181</c:v>
                </c:pt>
                <c:pt idx="255">
                  <c:v>2005.6523863636364</c:v>
                </c:pt>
                <c:pt idx="256">
                  <c:v>2005.7294545454547</c:v>
                </c:pt>
                <c:pt idx="257">
                  <c:v>2005.8065227272727</c:v>
                </c:pt>
                <c:pt idx="258">
                  <c:v>2005.883590909091</c:v>
                </c:pt>
                <c:pt idx="259">
                  <c:v>2005.9606590909091</c:v>
                </c:pt>
                <c:pt idx="260">
                  <c:v>2006.0377272727274</c:v>
                </c:pt>
                <c:pt idx="261">
                  <c:v>2006.1147954545454</c:v>
                </c:pt>
                <c:pt idx="262">
                  <c:v>2006.1918636363637</c:v>
                </c:pt>
                <c:pt idx="263">
                  <c:v>2006.268931818182</c:v>
                </c:pt>
                <c:pt idx="264">
                  <c:v>2006.346</c:v>
                </c:pt>
                <c:pt idx="265">
                  <c:v>2006.4230681818183</c:v>
                </c:pt>
                <c:pt idx="266">
                  <c:v>2006.5001363636363</c:v>
                </c:pt>
                <c:pt idx="267">
                  <c:v>2006.5772045454546</c:v>
                </c:pt>
                <c:pt idx="268">
                  <c:v>2006.6542727272729</c:v>
                </c:pt>
                <c:pt idx="269">
                  <c:v>2006.7313409090909</c:v>
                </c:pt>
                <c:pt idx="270">
                  <c:v>2006.8084090909092</c:v>
                </c:pt>
                <c:pt idx="271">
                  <c:v>2006.8854772727273</c:v>
                </c:pt>
                <c:pt idx="272">
                  <c:v>2006.9625454545455</c:v>
                </c:pt>
                <c:pt idx="273">
                  <c:v>2007.0396136363636</c:v>
                </c:pt>
                <c:pt idx="274">
                  <c:v>2007.1166818181819</c:v>
                </c:pt>
                <c:pt idx="275">
                  <c:v>2007.1937500000001</c:v>
                </c:pt>
                <c:pt idx="276">
                  <c:v>2007.2708181818182</c:v>
                </c:pt>
                <c:pt idx="277">
                  <c:v>2007.3478863636365</c:v>
                </c:pt>
                <c:pt idx="278">
                  <c:v>2007.4249545454545</c:v>
                </c:pt>
                <c:pt idx="279">
                  <c:v>2007.5020227272728</c:v>
                </c:pt>
                <c:pt idx="280">
                  <c:v>2007.5790909090911</c:v>
                </c:pt>
                <c:pt idx="281">
                  <c:v>2007.6561590909091</c:v>
                </c:pt>
                <c:pt idx="282">
                  <c:v>2007.7332272727274</c:v>
                </c:pt>
                <c:pt idx="283">
                  <c:v>2007.8102954545454</c:v>
                </c:pt>
                <c:pt idx="284">
                  <c:v>2007.8873636363637</c:v>
                </c:pt>
                <c:pt idx="285">
                  <c:v>2007.9644318181818</c:v>
                </c:pt>
                <c:pt idx="286">
                  <c:v>2008.0415</c:v>
                </c:pt>
                <c:pt idx="287">
                  <c:v>2008.1185681818183</c:v>
                </c:pt>
                <c:pt idx="288">
                  <c:v>2008.1956363636364</c:v>
                </c:pt>
                <c:pt idx="289">
                  <c:v>2008.2727045454546</c:v>
                </c:pt>
                <c:pt idx="290">
                  <c:v>2008.3497727272727</c:v>
                </c:pt>
                <c:pt idx="291">
                  <c:v>2008.426840909091</c:v>
                </c:pt>
                <c:pt idx="292">
                  <c:v>2008.5039090909092</c:v>
                </c:pt>
                <c:pt idx="293">
                  <c:v>2008.5809772727273</c:v>
                </c:pt>
                <c:pt idx="294">
                  <c:v>2008.6580454545456</c:v>
                </c:pt>
                <c:pt idx="295">
                  <c:v>2008.7351136363636</c:v>
                </c:pt>
                <c:pt idx="296">
                  <c:v>2008.8121818181819</c:v>
                </c:pt>
                <c:pt idx="297">
                  <c:v>2008.8892499999999</c:v>
                </c:pt>
                <c:pt idx="298">
                  <c:v>2008.9663181818182</c:v>
                </c:pt>
                <c:pt idx="299">
                  <c:v>2009.0433863636365</c:v>
                </c:pt>
                <c:pt idx="300">
                  <c:v>2009.1204545454545</c:v>
                </c:pt>
                <c:pt idx="301">
                  <c:v>2009.1975227272728</c:v>
                </c:pt>
                <c:pt idx="302">
                  <c:v>2009.2745909090909</c:v>
                </c:pt>
                <c:pt idx="303">
                  <c:v>2009.3516590909092</c:v>
                </c:pt>
                <c:pt idx="304">
                  <c:v>2009.4287272727274</c:v>
                </c:pt>
                <c:pt idx="305">
                  <c:v>2009.5057954545455</c:v>
                </c:pt>
                <c:pt idx="306">
                  <c:v>2009.5828636363638</c:v>
                </c:pt>
                <c:pt idx="307">
                  <c:v>2009.6599318181818</c:v>
                </c:pt>
                <c:pt idx="308">
                  <c:v>2009.7370000000001</c:v>
                </c:pt>
                <c:pt idx="309">
                  <c:v>2009.8140681818181</c:v>
                </c:pt>
                <c:pt idx="310">
                  <c:v>2009.8911363636364</c:v>
                </c:pt>
                <c:pt idx="311">
                  <c:v>2009.9682045454547</c:v>
                </c:pt>
                <c:pt idx="312">
                  <c:v>2010.0452727272727</c:v>
                </c:pt>
                <c:pt idx="313">
                  <c:v>2010.122340909091</c:v>
                </c:pt>
                <c:pt idx="314">
                  <c:v>2010.1994090909091</c:v>
                </c:pt>
                <c:pt idx="315">
                  <c:v>2010.2764772727273</c:v>
                </c:pt>
                <c:pt idx="316">
                  <c:v>2010.3535454545456</c:v>
                </c:pt>
                <c:pt idx="317">
                  <c:v>2010.4306136363637</c:v>
                </c:pt>
                <c:pt idx="318">
                  <c:v>2010.5076818181819</c:v>
                </c:pt>
                <c:pt idx="319">
                  <c:v>2010.58475</c:v>
                </c:pt>
                <c:pt idx="320">
                  <c:v>2010.6618181818183</c:v>
                </c:pt>
                <c:pt idx="321">
                  <c:v>2010.7388863636365</c:v>
                </c:pt>
                <c:pt idx="322">
                  <c:v>2010.8159545454546</c:v>
                </c:pt>
                <c:pt idx="323">
                  <c:v>2010.8930227272729</c:v>
                </c:pt>
                <c:pt idx="324">
                  <c:v>2010.9700909090909</c:v>
                </c:pt>
                <c:pt idx="325">
                  <c:v>2011.0471590909092</c:v>
                </c:pt>
                <c:pt idx="326">
                  <c:v>2011.1242272727272</c:v>
                </c:pt>
                <c:pt idx="327">
                  <c:v>2011.2012954545455</c:v>
                </c:pt>
                <c:pt idx="328">
                  <c:v>2011.2783636363638</c:v>
                </c:pt>
                <c:pt idx="329">
                  <c:v>2011.3554318181818</c:v>
                </c:pt>
                <c:pt idx="330">
                  <c:v>2011.4325000000001</c:v>
                </c:pt>
                <c:pt idx="331">
                  <c:v>2011.5095681818182</c:v>
                </c:pt>
                <c:pt idx="332">
                  <c:v>2011.5866363636364</c:v>
                </c:pt>
                <c:pt idx="333">
                  <c:v>2011.6637045454545</c:v>
                </c:pt>
                <c:pt idx="334">
                  <c:v>2011.7407727272728</c:v>
                </c:pt>
                <c:pt idx="335">
                  <c:v>2011.817840909091</c:v>
                </c:pt>
                <c:pt idx="336">
                  <c:v>2011.8949090909091</c:v>
                </c:pt>
                <c:pt idx="337">
                  <c:v>2011.9719772727274</c:v>
                </c:pt>
                <c:pt idx="338">
                  <c:v>2012.0490454545454</c:v>
                </c:pt>
                <c:pt idx="339">
                  <c:v>2012.1261136363637</c:v>
                </c:pt>
                <c:pt idx="340">
                  <c:v>2012.203181818182</c:v>
                </c:pt>
                <c:pt idx="341">
                  <c:v>2012.28025</c:v>
                </c:pt>
                <c:pt idx="342">
                  <c:v>2012.3573181818183</c:v>
                </c:pt>
                <c:pt idx="343">
                  <c:v>2012.4343863636363</c:v>
                </c:pt>
                <c:pt idx="344">
                  <c:v>2012.5114545454546</c:v>
                </c:pt>
                <c:pt idx="345">
                  <c:v>2012.5885227272729</c:v>
                </c:pt>
                <c:pt idx="346">
                  <c:v>2012.665590909091</c:v>
                </c:pt>
                <c:pt idx="347">
                  <c:v>2012.7426590909092</c:v>
                </c:pt>
                <c:pt idx="348">
                  <c:v>2012.8197272727273</c:v>
                </c:pt>
                <c:pt idx="349">
                  <c:v>2012.8967954545456</c:v>
                </c:pt>
                <c:pt idx="350">
                  <c:v>2012.9738636363636</c:v>
                </c:pt>
                <c:pt idx="351">
                  <c:v>2013.0509318181819</c:v>
                </c:pt>
                <c:pt idx="352">
                  <c:v>2013.1280000000002</c:v>
                </c:pt>
                <c:pt idx="353">
                  <c:v>2013.2050681818182</c:v>
                </c:pt>
                <c:pt idx="354">
                  <c:v>2013.2821363636365</c:v>
                </c:pt>
                <c:pt idx="355">
                  <c:v>2013.3592045454545</c:v>
                </c:pt>
                <c:pt idx="356">
                  <c:v>2013.4362727272728</c:v>
                </c:pt>
                <c:pt idx="357">
                  <c:v>2013.5133409090911</c:v>
                </c:pt>
                <c:pt idx="358">
                  <c:v>2013.5904090909091</c:v>
                </c:pt>
                <c:pt idx="359">
                  <c:v>2013.6674772727274</c:v>
                </c:pt>
                <c:pt idx="360">
                  <c:v>2013.7445454545455</c:v>
                </c:pt>
                <c:pt idx="361">
                  <c:v>2013.8216136363637</c:v>
                </c:pt>
                <c:pt idx="362">
                  <c:v>2013.8986818181818</c:v>
                </c:pt>
                <c:pt idx="363">
                  <c:v>2013.9757500000001</c:v>
                </c:pt>
                <c:pt idx="364">
                  <c:v>2014.0528181818183</c:v>
                </c:pt>
                <c:pt idx="365">
                  <c:v>2014.1298863636364</c:v>
                </c:pt>
                <c:pt idx="366">
                  <c:v>2014.2069545454547</c:v>
                </c:pt>
                <c:pt idx="367">
                  <c:v>2014.2840227272727</c:v>
                </c:pt>
                <c:pt idx="368">
                  <c:v>2014.361090909091</c:v>
                </c:pt>
                <c:pt idx="369">
                  <c:v>2014.4381590909093</c:v>
                </c:pt>
                <c:pt idx="370">
                  <c:v>2014.5152272727273</c:v>
                </c:pt>
                <c:pt idx="371">
                  <c:v>2014.5922954545456</c:v>
                </c:pt>
                <c:pt idx="372">
                  <c:v>2014.6693636363636</c:v>
                </c:pt>
                <c:pt idx="373">
                  <c:v>2014.7464318181819</c:v>
                </c:pt>
                <c:pt idx="374">
                  <c:v>2014.8235</c:v>
                </c:pt>
                <c:pt idx="375">
                  <c:v>2014.9005681818182</c:v>
                </c:pt>
                <c:pt idx="376">
                  <c:v>2014.9776363636365</c:v>
                </c:pt>
                <c:pt idx="377">
                  <c:v>2015.0547045454546</c:v>
                </c:pt>
                <c:pt idx="378">
                  <c:v>2015.1317727272728</c:v>
                </c:pt>
                <c:pt idx="379">
                  <c:v>2015.2088409090909</c:v>
                </c:pt>
                <c:pt idx="380">
                  <c:v>2015.2859090909092</c:v>
                </c:pt>
                <c:pt idx="381">
                  <c:v>2015.3629772727274</c:v>
                </c:pt>
                <c:pt idx="382">
                  <c:v>2015.4400454545455</c:v>
                </c:pt>
                <c:pt idx="383">
                  <c:v>2015.5171136363638</c:v>
                </c:pt>
                <c:pt idx="384">
                  <c:v>2015.5941818181818</c:v>
                </c:pt>
                <c:pt idx="385">
                  <c:v>2015.6712500000001</c:v>
                </c:pt>
                <c:pt idx="386">
                  <c:v>2015.7483181818181</c:v>
                </c:pt>
                <c:pt idx="387">
                  <c:v>2015.8253863636364</c:v>
                </c:pt>
                <c:pt idx="388">
                  <c:v>2015.9024545454547</c:v>
                </c:pt>
                <c:pt idx="389">
                  <c:v>2015.9795227272728</c:v>
                </c:pt>
                <c:pt idx="390">
                  <c:v>2016.056590909091</c:v>
                </c:pt>
                <c:pt idx="391">
                  <c:v>2016.1336590909091</c:v>
                </c:pt>
                <c:pt idx="392">
                  <c:v>2016.2107272727274</c:v>
                </c:pt>
                <c:pt idx="393">
                  <c:v>2016.2877954545456</c:v>
                </c:pt>
                <c:pt idx="394">
                  <c:v>2016.3648636363637</c:v>
                </c:pt>
                <c:pt idx="395">
                  <c:v>2016.441931818182</c:v>
                </c:pt>
                <c:pt idx="396">
                  <c:v>2016.519</c:v>
                </c:pt>
                <c:pt idx="397">
                  <c:v>2016.5960681818183</c:v>
                </c:pt>
                <c:pt idx="398">
                  <c:v>2016.6731363636363</c:v>
                </c:pt>
                <c:pt idx="399">
                  <c:v>2016.7502045454546</c:v>
                </c:pt>
                <c:pt idx="400">
                  <c:v>2016.8272727272729</c:v>
                </c:pt>
                <c:pt idx="401">
                  <c:v>2016.9043409090909</c:v>
                </c:pt>
                <c:pt idx="402">
                  <c:v>2016.9814090909092</c:v>
                </c:pt>
                <c:pt idx="403">
                  <c:v>2017.0584772727273</c:v>
                </c:pt>
                <c:pt idx="404">
                  <c:v>2017.1355454545455</c:v>
                </c:pt>
                <c:pt idx="405">
                  <c:v>2017.2126136363638</c:v>
                </c:pt>
                <c:pt idx="406">
                  <c:v>2017.2896818181819</c:v>
                </c:pt>
                <c:pt idx="407">
                  <c:v>2017.3667500000001</c:v>
                </c:pt>
                <c:pt idx="408">
                  <c:v>2017.4438181818182</c:v>
                </c:pt>
                <c:pt idx="409">
                  <c:v>2017.5208863636365</c:v>
                </c:pt>
                <c:pt idx="410">
                  <c:v>2017.5979545454545</c:v>
                </c:pt>
                <c:pt idx="411">
                  <c:v>2017.6750227272728</c:v>
                </c:pt>
                <c:pt idx="412">
                  <c:v>2017.7520909090911</c:v>
                </c:pt>
                <c:pt idx="413">
                  <c:v>2017.8291590909091</c:v>
                </c:pt>
                <c:pt idx="414">
                  <c:v>2017.9062272727274</c:v>
                </c:pt>
                <c:pt idx="415">
                  <c:v>2017.9832954545454</c:v>
                </c:pt>
                <c:pt idx="416">
                  <c:v>2018.0603636363637</c:v>
                </c:pt>
                <c:pt idx="417">
                  <c:v>2018.137431818182</c:v>
                </c:pt>
                <c:pt idx="418">
                  <c:v>2018.2145</c:v>
                </c:pt>
                <c:pt idx="419">
                  <c:v>2018.2915681818183</c:v>
                </c:pt>
                <c:pt idx="420">
                  <c:v>2018.3686363636364</c:v>
                </c:pt>
                <c:pt idx="421">
                  <c:v>2018.4457045454546</c:v>
                </c:pt>
                <c:pt idx="422">
                  <c:v>2018.5227727272727</c:v>
                </c:pt>
                <c:pt idx="423">
                  <c:v>2018.599840909091</c:v>
                </c:pt>
                <c:pt idx="424">
                  <c:v>2018.6769090909092</c:v>
                </c:pt>
                <c:pt idx="425">
                  <c:v>2018.7539772727273</c:v>
                </c:pt>
                <c:pt idx="426">
                  <c:v>2018.8310454545456</c:v>
                </c:pt>
                <c:pt idx="427">
                  <c:v>2018.9081136363636</c:v>
                </c:pt>
                <c:pt idx="428">
                  <c:v>2018.9851818181819</c:v>
                </c:pt>
                <c:pt idx="429">
                  <c:v>2019.0622500000002</c:v>
                </c:pt>
                <c:pt idx="430">
                  <c:v>2019.1393181818182</c:v>
                </c:pt>
                <c:pt idx="431">
                  <c:v>2019.2163863636365</c:v>
                </c:pt>
                <c:pt idx="432">
                  <c:v>2019.2934545454546</c:v>
                </c:pt>
                <c:pt idx="433">
                  <c:v>2019.3705227272728</c:v>
                </c:pt>
                <c:pt idx="434">
                  <c:v>2019.4475909090911</c:v>
                </c:pt>
                <c:pt idx="435">
                  <c:v>2019.5246590909092</c:v>
                </c:pt>
                <c:pt idx="436">
                  <c:v>2019.6017272727274</c:v>
                </c:pt>
                <c:pt idx="437">
                  <c:v>2019.6787954545455</c:v>
                </c:pt>
                <c:pt idx="438">
                  <c:v>2019.7558636363638</c:v>
                </c:pt>
                <c:pt idx="439">
                  <c:v>2019.8329318181818</c:v>
                </c:pt>
                <c:pt idx="440">
                  <c:v>2019.91</c:v>
                </c:pt>
              </c:numCache>
            </c:numRef>
          </c:cat>
          <c:val>
            <c:numRef>
              <c:f>颜色分段折线图!$F$6:$F$446</c:f>
              <c:numCache>
                <c:formatCode>0.00_ 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4.2</c:v>
                </c:pt>
                <c:pt idx="64">
                  <c:v>4.2</c:v>
                </c:pt>
                <c:pt idx="65">
                  <c:v>4.2</c:v>
                </c:pt>
                <c:pt idx="66">
                  <c:v>4.2</c:v>
                </c:pt>
                <c:pt idx="67">
                  <c:v>4.2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4.2</c:v>
                </c:pt>
                <c:pt idx="72">
                  <c:v>4.2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4.2</c:v>
                </c:pt>
                <c:pt idx="199">
                  <c:v>4.2</c:v>
                </c:pt>
                <c:pt idx="200">
                  <c:v>4.2</c:v>
                </c:pt>
                <c:pt idx="201">
                  <c:v>4.2</c:v>
                </c:pt>
                <c:pt idx="202">
                  <c:v>4.2</c:v>
                </c:pt>
                <c:pt idx="203">
                  <c:v>4.2</c:v>
                </c:pt>
                <c:pt idx="204">
                  <c:v>4.2</c:v>
                </c:pt>
                <c:pt idx="205">
                  <c:v>4.2</c:v>
                </c:pt>
                <c:pt idx="206">
                  <c:v>4.2</c:v>
                </c:pt>
                <c:pt idx="207">
                  <c:v>4.2</c:v>
                </c:pt>
                <c:pt idx="208">
                  <c:v>4.2</c:v>
                </c:pt>
                <c:pt idx="209">
                  <c:v>4.2</c:v>
                </c:pt>
                <c:pt idx="210">
                  <c:v>4.2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4.2</c:v>
                </c:pt>
                <c:pt idx="312">
                  <c:v>4.2</c:v>
                </c:pt>
                <c:pt idx="313">
                  <c:v>4.2</c:v>
                </c:pt>
                <c:pt idx="314">
                  <c:v>4.2</c:v>
                </c:pt>
                <c:pt idx="315">
                  <c:v>4.2</c:v>
                </c:pt>
                <c:pt idx="316">
                  <c:v>4.2</c:v>
                </c:pt>
                <c:pt idx="317">
                  <c:v>4.2</c:v>
                </c:pt>
                <c:pt idx="318">
                  <c:v>4.2</c:v>
                </c:pt>
                <c:pt idx="319">
                  <c:v>4.2</c:v>
                </c:pt>
                <c:pt idx="320">
                  <c:v>4.2</c:v>
                </c:pt>
                <c:pt idx="321">
                  <c:v>4.2</c:v>
                </c:pt>
                <c:pt idx="322">
                  <c:v>4.2</c:v>
                </c:pt>
                <c:pt idx="323">
                  <c:v>4.2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27-45D1-8A04-414A72B5BB8C}"/>
            </c:ext>
          </c:extLst>
        </c:ser>
        <c:ser>
          <c:idx val="5"/>
          <c:order val="5"/>
          <c:tx>
            <c:strRef>
              <c:f>颜色分段折线图!$G$5</c:f>
              <c:strCache>
                <c:ptCount val="1"/>
                <c:pt idx="0">
                  <c:v>valueNeg</c:v>
                </c:pt>
              </c:strCache>
            </c:strRef>
          </c:tx>
          <c:spPr>
            <a:solidFill>
              <a:srgbClr val="BDC3C7"/>
            </a:solidFill>
            <a:ln w="25400">
              <a:noFill/>
            </a:ln>
            <a:effectLst/>
          </c:spPr>
          <c:invertIfNegative val="0"/>
          <c:cat>
            <c:numRef>
              <c:f>颜色分段折线图!$E$6</c:f>
              <c:numCache>
                <c:formatCode>0.00_ </c:formatCode>
                <c:ptCount val="1"/>
                <c:pt idx="0">
                  <c:v>1986</c:v>
                </c:pt>
              </c:numCache>
            </c:numRef>
          </c:cat>
          <c:val>
            <c:numRef>
              <c:f>颜色分段折线图!$G$6:$G$446</c:f>
              <c:numCache>
                <c:formatCode>General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27-45D1-8A04-414A72B5BB8C}"/>
            </c:ext>
          </c:extLst>
        </c:ser>
        <c:ser>
          <c:idx val="6"/>
          <c:order val="6"/>
          <c:tx>
            <c:strRef>
              <c:f>颜色分段折线图!$H$5</c:f>
              <c:strCache>
                <c:ptCount val="1"/>
                <c:pt idx="0">
                  <c:v>valueCap</c:v>
                </c:pt>
              </c:strCache>
            </c:strRef>
          </c:tx>
          <c:spPr>
            <a:solidFill>
              <a:srgbClr val="2C3E50"/>
            </a:solidFill>
            <a:ln w="25400">
              <a:noFill/>
            </a:ln>
            <a:effectLst/>
          </c:spPr>
          <c:invertIfNegative val="0"/>
          <c:cat>
            <c:numRef>
              <c:f>颜色分段折线图!$E$6</c:f>
              <c:numCache>
                <c:formatCode>0.00_ </c:formatCode>
                <c:ptCount val="1"/>
                <c:pt idx="0">
                  <c:v>1986</c:v>
                </c:pt>
              </c:numCache>
            </c:numRef>
          </c:cat>
          <c:val>
            <c:numRef>
              <c:f>颜色分段折线图!$H$6:$H$446</c:f>
              <c:numCache>
                <c:formatCode>General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27-45D1-8A04-414A72B5B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99961888"/>
        <c:axId val="1299959968"/>
      </c:barChart>
      <c:scatterChart>
        <c:scatterStyle val="smoothMarker"/>
        <c:varyColors val="0"/>
        <c:ser>
          <c:idx val="0"/>
          <c:order val="0"/>
          <c:tx>
            <c:strRef>
              <c:f>颜色分段折线图!$C$5</c:f>
              <c:strCache>
                <c:ptCount val="1"/>
                <c:pt idx="0">
                  <c:v>Postive</c:v>
                </c:pt>
              </c:strCache>
            </c:strRef>
          </c:tx>
          <c:spPr>
            <a:ln w="19050" cap="rnd">
              <a:gradFill flip="none" rotWithShape="1">
                <a:gsLst>
                  <a:gs pos="99000">
                    <a:srgbClr val="B71C1C"/>
                  </a:gs>
                  <a:gs pos="67000">
                    <a:srgbClr val="2C3E50"/>
                  </a:gs>
                </a:gsLst>
                <a:lin ang="5400000" scaled="1"/>
                <a:tileRect/>
              </a:gradFill>
              <a:round/>
            </a:ln>
            <a:effectLst/>
          </c:spPr>
          <c:marker>
            <c:symbol val="none"/>
          </c:marker>
          <c:xVal>
            <c:numRef>
              <c:f>颜色分段折线图!$A$6:$A$446</c:f>
              <c:numCache>
                <c:formatCode>General</c:formatCode>
                <c:ptCount val="441"/>
                <c:pt idx="0">
                  <c:v>1987.29</c:v>
                </c:pt>
                <c:pt idx="1">
                  <c:v>1987.3</c:v>
                </c:pt>
                <c:pt idx="2">
                  <c:v>1987.34</c:v>
                </c:pt>
                <c:pt idx="3">
                  <c:v>1987.37</c:v>
                </c:pt>
                <c:pt idx="4">
                  <c:v>1987.42</c:v>
                </c:pt>
                <c:pt idx="5">
                  <c:v>1987.46</c:v>
                </c:pt>
                <c:pt idx="6">
                  <c:v>1987.49</c:v>
                </c:pt>
                <c:pt idx="7">
                  <c:v>1987.51</c:v>
                </c:pt>
                <c:pt idx="8">
                  <c:v>1987.51</c:v>
                </c:pt>
                <c:pt idx="9">
                  <c:v>1987.53</c:v>
                </c:pt>
                <c:pt idx="10">
                  <c:v>1987.58</c:v>
                </c:pt>
                <c:pt idx="11">
                  <c:v>1987.67</c:v>
                </c:pt>
                <c:pt idx="12">
                  <c:v>1987.69</c:v>
                </c:pt>
                <c:pt idx="13">
                  <c:v>1987.78</c:v>
                </c:pt>
                <c:pt idx="14">
                  <c:v>1987.88</c:v>
                </c:pt>
                <c:pt idx="15">
                  <c:v>1988.02</c:v>
                </c:pt>
                <c:pt idx="16">
                  <c:v>1988.04</c:v>
                </c:pt>
                <c:pt idx="17">
                  <c:v>1988.1</c:v>
                </c:pt>
                <c:pt idx="18">
                  <c:v>1988.13</c:v>
                </c:pt>
                <c:pt idx="19">
                  <c:v>1988.14</c:v>
                </c:pt>
                <c:pt idx="20">
                  <c:v>1988.15</c:v>
                </c:pt>
                <c:pt idx="21">
                  <c:v>1988.16</c:v>
                </c:pt>
                <c:pt idx="22">
                  <c:v>1988.16</c:v>
                </c:pt>
                <c:pt idx="23">
                  <c:v>1988.16</c:v>
                </c:pt>
                <c:pt idx="24">
                  <c:v>1988.16</c:v>
                </c:pt>
                <c:pt idx="25">
                  <c:v>1988.17</c:v>
                </c:pt>
                <c:pt idx="26">
                  <c:v>1988.44</c:v>
                </c:pt>
                <c:pt idx="27">
                  <c:v>1988.45</c:v>
                </c:pt>
                <c:pt idx="28">
                  <c:v>1988.48</c:v>
                </c:pt>
                <c:pt idx="29">
                  <c:v>1988.51</c:v>
                </c:pt>
                <c:pt idx="30">
                  <c:v>1988.68</c:v>
                </c:pt>
                <c:pt idx="31">
                  <c:v>1988.73</c:v>
                </c:pt>
                <c:pt idx="32">
                  <c:v>1988.76</c:v>
                </c:pt>
                <c:pt idx="33">
                  <c:v>1988.8</c:v>
                </c:pt>
                <c:pt idx="34">
                  <c:v>1988.83</c:v>
                </c:pt>
                <c:pt idx="35">
                  <c:v>1988.86</c:v>
                </c:pt>
                <c:pt idx="36">
                  <c:v>1988.87</c:v>
                </c:pt>
                <c:pt idx="37">
                  <c:v>1988.88</c:v>
                </c:pt>
                <c:pt idx="38">
                  <c:v>1988.89</c:v>
                </c:pt>
                <c:pt idx="39">
                  <c:v>1988.9</c:v>
                </c:pt>
                <c:pt idx="40">
                  <c:v>1988.92</c:v>
                </c:pt>
                <c:pt idx="41">
                  <c:v>1988.93</c:v>
                </c:pt>
                <c:pt idx="42">
                  <c:v>1988.94</c:v>
                </c:pt>
                <c:pt idx="43">
                  <c:v>1988.97</c:v>
                </c:pt>
                <c:pt idx="44">
                  <c:v>1989</c:v>
                </c:pt>
                <c:pt idx="45">
                  <c:v>1989.03</c:v>
                </c:pt>
                <c:pt idx="46">
                  <c:v>1989.07</c:v>
                </c:pt>
                <c:pt idx="47">
                  <c:v>1989.09</c:v>
                </c:pt>
                <c:pt idx="48">
                  <c:v>1989.11</c:v>
                </c:pt>
                <c:pt idx="49">
                  <c:v>1989.13</c:v>
                </c:pt>
                <c:pt idx="50">
                  <c:v>1989.16</c:v>
                </c:pt>
                <c:pt idx="51">
                  <c:v>1989.22</c:v>
                </c:pt>
                <c:pt idx="52">
                  <c:v>1989.3</c:v>
                </c:pt>
                <c:pt idx="53">
                  <c:v>1989.32</c:v>
                </c:pt>
                <c:pt idx="54">
                  <c:v>1989.43</c:v>
                </c:pt>
                <c:pt idx="55">
                  <c:v>1989.48</c:v>
                </c:pt>
                <c:pt idx="56">
                  <c:v>1989.61</c:v>
                </c:pt>
                <c:pt idx="57">
                  <c:v>1989.64</c:v>
                </c:pt>
                <c:pt idx="58">
                  <c:v>1989.67</c:v>
                </c:pt>
                <c:pt idx="59">
                  <c:v>1989.69</c:v>
                </c:pt>
                <c:pt idx="60">
                  <c:v>1989.72</c:v>
                </c:pt>
                <c:pt idx="61">
                  <c:v>1989.78</c:v>
                </c:pt>
                <c:pt idx="62">
                  <c:v>1989.82</c:v>
                </c:pt>
                <c:pt idx="63">
                  <c:v>1989.9</c:v>
                </c:pt>
                <c:pt idx="64">
                  <c:v>1989.96</c:v>
                </c:pt>
                <c:pt idx="65">
                  <c:v>1990.05</c:v>
                </c:pt>
                <c:pt idx="66">
                  <c:v>1990.13</c:v>
                </c:pt>
                <c:pt idx="67">
                  <c:v>1990.19</c:v>
                </c:pt>
                <c:pt idx="68">
                  <c:v>1990.36</c:v>
                </c:pt>
                <c:pt idx="69">
                  <c:v>1990.45</c:v>
                </c:pt>
                <c:pt idx="70">
                  <c:v>1990.52</c:v>
                </c:pt>
                <c:pt idx="71">
                  <c:v>1990.54</c:v>
                </c:pt>
                <c:pt idx="72">
                  <c:v>1990.58</c:v>
                </c:pt>
                <c:pt idx="73">
                  <c:v>1990.61</c:v>
                </c:pt>
                <c:pt idx="74">
                  <c:v>1990.62</c:v>
                </c:pt>
                <c:pt idx="75">
                  <c:v>1990.73</c:v>
                </c:pt>
                <c:pt idx="76">
                  <c:v>1990.88</c:v>
                </c:pt>
                <c:pt idx="77">
                  <c:v>1990.93</c:v>
                </c:pt>
                <c:pt idx="78">
                  <c:v>1990.94</c:v>
                </c:pt>
                <c:pt idx="79">
                  <c:v>1990.95</c:v>
                </c:pt>
                <c:pt idx="80">
                  <c:v>1990.97</c:v>
                </c:pt>
                <c:pt idx="81">
                  <c:v>1990.99</c:v>
                </c:pt>
                <c:pt idx="82">
                  <c:v>1991.01</c:v>
                </c:pt>
                <c:pt idx="83">
                  <c:v>1991.03</c:v>
                </c:pt>
                <c:pt idx="84">
                  <c:v>1991.05</c:v>
                </c:pt>
                <c:pt idx="85">
                  <c:v>1991.09</c:v>
                </c:pt>
                <c:pt idx="86">
                  <c:v>1991.19</c:v>
                </c:pt>
                <c:pt idx="87">
                  <c:v>1991.26</c:v>
                </c:pt>
                <c:pt idx="88">
                  <c:v>1991.29</c:v>
                </c:pt>
                <c:pt idx="89">
                  <c:v>1991.32</c:v>
                </c:pt>
                <c:pt idx="90">
                  <c:v>1991.34</c:v>
                </c:pt>
                <c:pt idx="91">
                  <c:v>1991.38</c:v>
                </c:pt>
                <c:pt idx="92">
                  <c:v>1991.41</c:v>
                </c:pt>
                <c:pt idx="93">
                  <c:v>1991.44</c:v>
                </c:pt>
                <c:pt idx="94">
                  <c:v>1991.55</c:v>
                </c:pt>
                <c:pt idx="95">
                  <c:v>1991.73</c:v>
                </c:pt>
                <c:pt idx="96">
                  <c:v>1991.81</c:v>
                </c:pt>
                <c:pt idx="97">
                  <c:v>1991.83</c:v>
                </c:pt>
                <c:pt idx="98">
                  <c:v>1991.87</c:v>
                </c:pt>
                <c:pt idx="99">
                  <c:v>1991.87</c:v>
                </c:pt>
                <c:pt idx="100">
                  <c:v>1991.98</c:v>
                </c:pt>
                <c:pt idx="101">
                  <c:v>1992.1</c:v>
                </c:pt>
                <c:pt idx="102">
                  <c:v>1992.2</c:v>
                </c:pt>
                <c:pt idx="103">
                  <c:v>1992.24</c:v>
                </c:pt>
                <c:pt idx="104">
                  <c:v>1992.27</c:v>
                </c:pt>
                <c:pt idx="105">
                  <c:v>1992.29</c:v>
                </c:pt>
                <c:pt idx="106">
                  <c:v>1992.31</c:v>
                </c:pt>
                <c:pt idx="107">
                  <c:v>1992.35</c:v>
                </c:pt>
                <c:pt idx="108">
                  <c:v>1992.47</c:v>
                </c:pt>
                <c:pt idx="109">
                  <c:v>1992.67</c:v>
                </c:pt>
                <c:pt idx="110">
                  <c:v>1992.69</c:v>
                </c:pt>
                <c:pt idx="111">
                  <c:v>1992.94</c:v>
                </c:pt>
                <c:pt idx="112">
                  <c:v>1993.08</c:v>
                </c:pt>
                <c:pt idx="113">
                  <c:v>1993.41</c:v>
                </c:pt>
                <c:pt idx="114">
                  <c:v>1993.71</c:v>
                </c:pt>
                <c:pt idx="115">
                  <c:v>1993.74</c:v>
                </c:pt>
                <c:pt idx="116">
                  <c:v>1993.98</c:v>
                </c:pt>
                <c:pt idx="117">
                  <c:v>1993.98</c:v>
                </c:pt>
                <c:pt idx="118">
                  <c:v>1993.99</c:v>
                </c:pt>
                <c:pt idx="119">
                  <c:v>1994.01</c:v>
                </c:pt>
                <c:pt idx="120">
                  <c:v>1994.02</c:v>
                </c:pt>
                <c:pt idx="121">
                  <c:v>1994.03</c:v>
                </c:pt>
                <c:pt idx="122">
                  <c:v>1994.14</c:v>
                </c:pt>
                <c:pt idx="123">
                  <c:v>1994.15</c:v>
                </c:pt>
                <c:pt idx="124">
                  <c:v>1994.53</c:v>
                </c:pt>
                <c:pt idx="125">
                  <c:v>1994.56</c:v>
                </c:pt>
                <c:pt idx="126">
                  <c:v>1994.58</c:v>
                </c:pt>
                <c:pt idx="127">
                  <c:v>1994.6</c:v>
                </c:pt>
                <c:pt idx="128">
                  <c:v>1994.63</c:v>
                </c:pt>
                <c:pt idx="129">
                  <c:v>1994.67</c:v>
                </c:pt>
                <c:pt idx="130">
                  <c:v>1994.69</c:v>
                </c:pt>
                <c:pt idx="131">
                  <c:v>1994.71</c:v>
                </c:pt>
                <c:pt idx="132">
                  <c:v>1994.74</c:v>
                </c:pt>
                <c:pt idx="133">
                  <c:v>1994.83</c:v>
                </c:pt>
                <c:pt idx="134">
                  <c:v>1994.92</c:v>
                </c:pt>
                <c:pt idx="135">
                  <c:v>1995.01</c:v>
                </c:pt>
                <c:pt idx="136">
                  <c:v>1995.03</c:v>
                </c:pt>
                <c:pt idx="137">
                  <c:v>1995.06</c:v>
                </c:pt>
                <c:pt idx="138">
                  <c:v>1995.1</c:v>
                </c:pt>
                <c:pt idx="139">
                  <c:v>1995.13</c:v>
                </c:pt>
                <c:pt idx="140">
                  <c:v>1995.17</c:v>
                </c:pt>
                <c:pt idx="141">
                  <c:v>1995.18</c:v>
                </c:pt>
                <c:pt idx="142">
                  <c:v>1995.18</c:v>
                </c:pt>
                <c:pt idx="143">
                  <c:v>1995.19</c:v>
                </c:pt>
                <c:pt idx="144">
                  <c:v>1995.22</c:v>
                </c:pt>
                <c:pt idx="145">
                  <c:v>1995.26</c:v>
                </c:pt>
                <c:pt idx="146">
                  <c:v>1995.3</c:v>
                </c:pt>
                <c:pt idx="147">
                  <c:v>1995.32</c:v>
                </c:pt>
                <c:pt idx="148">
                  <c:v>1995.33</c:v>
                </c:pt>
                <c:pt idx="149">
                  <c:v>1995.35</c:v>
                </c:pt>
                <c:pt idx="150">
                  <c:v>1995.38</c:v>
                </c:pt>
                <c:pt idx="151">
                  <c:v>1995.42</c:v>
                </c:pt>
                <c:pt idx="152">
                  <c:v>1995.47</c:v>
                </c:pt>
                <c:pt idx="153">
                  <c:v>1995.55</c:v>
                </c:pt>
                <c:pt idx="154">
                  <c:v>1995.64</c:v>
                </c:pt>
                <c:pt idx="155">
                  <c:v>1995.67</c:v>
                </c:pt>
                <c:pt idx="156">
                  <c:v>1995.75</c:v>
                </c:pt>
                <c:pt idx="157">
                  <c:v>1995.88</c:v>
                </c:pt>
                <c:pt idx="158">
                  <c:v>1996.07</c:v>
                </c:pt>
                <c:pt idx="159">
                  <c:v>1996.58</c:v>
                </c:pt>
                <c:pt idx="160">
                  <c:v>1996.65</c:v>
                </c:pt>
                <c:pt idx="161">
                  <c:v>1996.75</c:v>
                </c:pt>
                <c:pt idx="162">
                  <c:v>1996.79</c:v>
                </c:pt>
                <c:pt idx="163">
                  <c:v>1996.99</c:v>
                </c:pt>
                <c:pt idx="164">
                  <c:v>1997.19</c:v>
                </c:pt>
                <c:pt idx="165">
                  <c:v>1997.4</c:v>
                </c:pt>
                <c:pt idx="166">
                  <c:v>1997.54</c:v>
                </c:pt>
                <c:pt idx="167">
                  <c:v>1997.75</c:v>
                </c:pt>
                <c:pt idx="168">
                  <c:v>1997.79</c:v>
                </c:pt>
                <c:pt idx="169">
                  <c:v>1997.81</c:v>
                </c:pt>
                <c:pt idx="170">
                  <c:v>1997.81</c:v>
                </c:pt>
                <c:pt idx="171">
                  <c:v>1997.84</c:v>
                </c:pt>
                <c:pt idx="172">
                  <c:v>1997.93</c:v>
                </c:pt>
                <c:pt idx="173">
                  <c:v>1998.1</c:v>
                </c:pt>
                <c:pt idx="174">
                  <c:v>1998.4</c:v>
                </c:pt>
                <c:pt idx="175">
                  <c:v>1998.52</c:v>
                </c:pt>
                <c:pt idx="176">
                  <c:v>1998.92</c:v>
                </c:pt>
                <c:pt idx="177">
                  <c:v>1998.93</c:v>
                </c:pt>
                <c:pt idx="178">
                  <c:v>1999.81</c:v>
                </c:pt>
                <c:pt idx="179">
                  <c:v>1999.9</c:v>
                </c:pt>
                <c:pt idx="180">
                  <c:v>1999.91</c:v>
                </c:pt>
                <c:pt idx="181">
                  <c:v>2000.08</c:v>
                </c:pt>
                <c:pt idx="182">
                  <c:v>2000.2</c:v>
                </c:pt>
                <c:pt idx="183">
                  <c:v>2000.22</c:v>
                </c:pt>
                <c:pt idx="184">
                  <c:v>2000.29</c:v>
                </c:pt>
                <c:pt idx="185">
                  <c:v>2000.37</c:v>
                </c:pt>
                <c:pt idx="186">
                  <c:v>2000.39</c:v>
                </c:pt>
                <c:pt idx="187">
                  <c:v>2000.4</c:v>
                </c:pt>
                <c:pt idx="188">
                  <c:v>2000.45</c:v>
                </c:pt>
                <c:pt idx="189">
                  <c:v>2000.45</c:v>
                </c:pt>
                <c:pt idx="190">
                  <c:v>2000.47</c:v>
                </c:pt>
                <c:pt idx="191">
                  <c:v>2000.49</c:v>
                </c:pt>
                <c:pt idx="192">
                  <c:v>2000.49</c:v>
                </c:pt>
                <c:pt idx="193">
                  <c:v>2000.63</c:v>
                </c:pt>
                <c:pt idx="194">
                  <c:v>2000.75</c:v>
                </c:pt>
                <c:pt idx="195">
                  <c:v>2000.85</c:v>
                </c:pt>
                <c:pt idx="196">
                  <c:v>2000.85</c:v>
                </c:pt>
                <c:pt idx="197">
                  <c:v>2000.87</c:v>
                </c:pt>
                <c:pt idx="198">
                  <c:v>2000.88</c:v>
                </c:pt>
                <c:pt idx="199">
                  <c:v>2000.89</c:v>
                </c:pt>
                <c:pt idx="200">
                  <c:v>2001.04</c:v>
                </c:pt>
                <c:pt idx="201">
                  <c:v>2001.16</c:v>
                </c:pt>
                <c:pt idx="202">
                  <c:v>2001.21</c:v>
                </c:pt>
                <c:pt idx="203">
                  <c:v>2001.25</c:v>
                </c:pt>
                <c:pt idx="204">
                  <c:v>2001.25</c:v>
                </c:pt>
                <c:pt idx="205">
                  <c:v>2001.3</c:v>
                </c:pt>
                <c:pt idx="206">
                  <c:v>2001.33</c:v>
                </c:pt>
                <c:pt idx="207">
                  <c:v>2001.34</c:v>
                </c:pt>
                <c:pt idx="208">
                  <c:v>2001.35</c:v>
                </c:pt>
                <c:pt idx="209">
                  <c:v>2001.36</c:v>
                </c:pt>
                <c:pt idx="210">
                  <c:v>2001.37</c:v>
                </c:pt>
                <c:pt idx="211">
                  <c:v>2001.39</c:v>
                </c:pt>
                <c:pt idx="212">
                  <c:v>2001.4</c:v>
                </c:pt>
                <c:pt idx="213">
                  <c:v>2001.41</c:v>
                </c:pt>
                <c:pt idx="214">
                  <c:v>2001.42</c:v>
                </c:pt>
                <c:pt idx="215">
                  <c:v>2001.42</c:v>
                </c:pt>
                <c:pt idx="216">
                  <c:v>2001.44</c:v>
                </c:pt>
                <c:pt idx="217">
                  <c:v>2001.45</c:v>
                </c:pt>
                <c:pt idx="218">
                  <c:v>2001.52</c:v>
                </c:pt>
                <c:pt idx="219">
                  <c:v>2001.57</c:v>
                </c:pt>
                <c:pt idx="220">
                  <c:v>2001.61</c:v>
                </c:pt>
                <c:pt idx="221">
                  <c:v>2001.67</c:v>
                </c:pt>
                <c:pt idx="222">
                  <c:v>2001.7</c:v>
                </c:pt>
                <c:pt idx="223">
                  <c:v>2001.7</c:v>
                </c:pt>
                <c:pt idx="224">
                  <c:v>2001.71</c:v>
                </c:pt>
                <c:pt idx="225">
                  <c:v>2001.78</c:v>
                </c:pt>
                <c:pt idx="226">
                  <c:v>2001.85</c:v>
                </c:pt>
                <c:pt idx="227">
                  <c:v>2001.86</c:v>
                </c:pt>
                <c:pt idx="228">
                  <c:v>2001.9</c:v>
                </c:pt>
                <c:pt idx="229">
                  <c:v>2001.94</c:v>
                </c:pt>
                <c:pt idx="230">
                  <c:v>2001.97</c:v>
                </c:pt>
                <c:pt idx="231">
                  <c:v>2001.99</c:v>
                </c:pt>
                <c:pt idx="232">
                  <c:v>2002</c:v>
                </c:pt>
                <c:pt idx="233">
                  <c:v>2002.03</c:v>
                </c:pt>
                <c:pt idx="234">
                  <c:v>2002.06</c:v>
                </c:pt>
                <c:pt idx="235">
                  <c:v>2002.09</c:v>
                </c:pt>
                <c:pt idx="236">
                  <c:v>2002.1</c:v>
                </c:pt>
                <c:pt idx="237">
                  <c:v>2002.11</c:v>
                </c:pt>
                <c:pt idx="238">
                  <c:v>2002.12</c:v>
                </c:pt>
                <c:pt idx="239">
                  <c:v>2002.15</c:v>
                </c:pt>
                <c:pt idx="240">
                  <c:v>2002.27</c:v>
                </c:pt>
                <c:pt idx="241">
                  <c:v>2002.27</c:v>
                </c:pt>
                <c:pt idx="242">
                  <c:v>2002.58</c:v>
                </c:pt>
                <c:pt idx="243">
                  <c:v>2002.93</c:v>
                </c:pt>
                <c:pt idx="244">
                  <c:v>2002.93</c:v>
                </c:pt>
                <c:pt idx="245">
                  <c:v>2002.94</c:v>
                </c:pt>
                <c:pt idx="246">
                  <c:v>2002.94</c:v>
                </c:pt>
                <c:pt idx="247">
                  <c:v>2002.98</c:v>
                </c:pt>
                <c:pt idx="248">
                  <c:v>2003.08</c:v>
                </c:pt>
                <c:pt idx="249">
                  <c:v>2003.14</c:v>
                </c:pt>
                <c:pt idx="250">
                  <c:v>2003.4</c:v>
                </c:pt>
                <c:pt idx="251">
                  <c:v>2003.49</c:v>
                </c:pt>
                <c:pt idx="252">
                  <c:v>2004.14</c:v>
                </c:pt>
                <c:pt idx="253">
                  <c:v>2004.19</c:v>
                </c:pt>
                <c:pt idx="254">
                  <c:v>2004.42</c:v>
                </c:pt>
                <c:pt idx="255">
                  <c:v>2004.45</c:v>
                </c:pt>
                <c:pt idx="256">
                  <c:v>2004.57</c:v>
                </c:pt>
                <c:pt idx="257">
                  <c:v>2004.64</c:v>
                </c:pt>
                <c:pt idx="258">
                  <c:v>2004.65</c:v>
                </c:pt>
                <c:pt idx="259">
                  <c:v>2004.65</c:v>
                </c:pt>
                <c:pt idx="260">
                  <c:v>2004.66</c:v>
                </c:pt>
                <c:pt idx="261">
                  <c:v>2004.66</c:v>
                </c:pt>
                <c:pt idx="262">
                  <c:v>2004.72</c:v>
                </c:pt>
                <c:pt idx="263">
                  <c:v>2004.83</c:v>
                </c:pt>
                <c:pt idx="264">
                  <c:v>2004.87</c:v>
                </c:pt>
                <c:pt idx="265">
                  <c:v>2004.88</c:v>
                </c:pt>
                <c:pt idx="266">
                  <c:v>2004.94</c:v>
                </c:pt>
                <c:pt idx="267">
                  <c:v>2004.96</c:v>
                </c:pt>
                <c:pt idx="268">
                  <c:v>2004.98</c:v>
                </c:pt>
                <c:pt idx="269">
                  <c:v>2005.02</c:v>
                </c:pt>
                <c:pt idx="270">
                  <c:v>2005.08</c:v>
                </c:pt>
                <c:pt idx="271">
                  <c:v>2005.13</c:v>
                </c:pt>
                <c:pt idx="272">
                  <c:v>2005.16</c:v>
                </c:pt>
                <c:pt idx="273">
                  <c:v>2005.22</c:v>
                </c:pt>
                <c:pt idx="274">
                  <c:v>2005.29</c:v>
                </c:pt>
                <c:pt idx="275">
                  <c:v>2005.33</c:v>
                </c:pt>
                <c:pt idx="276">
                  <c:v>2005.36</c:v>
                </c:pt>
                <c:pt idx="277">
                  <c:v>2005.4</c:v>
                </c:pt>
                <c:pt idx="278">
                  <c:v>2005.44</c:v>
                </c:pt>
                <c:pt idx="279">
                  <c:v>2005.48</c:v>
                </c:pt>
                <c:pt idx="280">
                  <c:v>2005.5</c:v>
                </c:pt>
                <c:pt idx="281">
                  <c:v>2005.52</c:v>
                </c:pt>
                <c:pt idx="282">
                  <c:v>2005.55</c:v>
                </c:pt>
                <c:pt idx="283">
                  <c:v>2005.57</c:v>
                </c:pt>
                <c:pt idx="284">
                  <c:v>2005.62</c:v>
                </c:pt>
                <c:pt idx="285">
                  <c:v>2005.69</c:v>
                </c:pt>
                <c:pt idx="286">
                  <c:v>2005.78</c:v>
                </c:pt>
                <c:pt idx="287">
                  <c:v>2005.86</c:v>
                </c:pt>
                <c:pt idx="288">
                  <c:v>2005.91</c:v>
                </c:pt>
                <c:pt idx="289">
                  <c:v>2005.98</c:v>
                </c:pt>
                <c:pt idx="290">
                  <c:v>2005.99</c:v>
                </c:pt>
                <c:pt idx="291">
                  <c:v>2006.1</c:v>
                </c:pt>
                <c:pt idx="292">
                  <c:v>2006.12</c:v>
                </c:pt>
                <c:pt idx="293">
                  <c:v>2006.22</c:v>
                </c:pt>
                <c:pt idx="294">
                  <c:v>2006.32</c:v>
                </c:pt>
                <c:pt idx="295">
                  <c:v>2006.4</c:v>
                </c:pt>
                <c:pt idx="296">
                  <c:v>2006.42</c:v>
                </c:pt>
                <c:pt idx="297">
                  <c:v>2006.43</c:v>
                </c:pt>
                <c:pt idx="298">
                  <c:v>2006.81</c:v>
                </c:pt>
                <c:pt idx="299">
                  <c:v>2007.09</c:v>
                </c:pt>
                <c:pt idx="300">
                  <c:v>2007.09</c:v>
                </c:pt>
                <c:pt idx="301">
                  <c:v>2007.1</c:v>
                </c:pt>
                <c:pt idx="302">
                  <c:v>2007.11</c:v>
                </c:pt>
                <c:pt idx="303">
                  <c:v>2007.12</c:v>
                </c:pt>
                <c:pt idx="304">
                  <c:v>2007.13</c:v>
                </c:pt>
                <c:pt idx="305">
                  <c:v>2007.14</c:v>
                </c:pt>
                <c:pt idx="306">
                  <c:v>2007.22</c:v>
                </c:pt>
                <c:pt idx="307">
                  <c:v>2007.6</c:v>
                </c:pt>
                <c:pt idx="308">
                  <c:v>2007.63</c:v>
                </c:pt>
                <c:pt idx="309">
                  <c:v>2007.65</c:v>
                </c:pt>
                <c:pt idx="310">
                  <c:v>2007.66</c:v>
                </c:pt>
                <c:pt idx="311">
                  <c:v>2007.69</c:v>
                </c:pt>
                <c:pt idx="312">
                  <c:v>2007.73</c:v>
                </c:pt>
                <c:pt idx="313">
                  <c:v>2007.79</c:v>
                </c:pt>
                <c:pt idx="314">
                  <c:v>2007.85</c:v>
                </c:pt>
                <c:pt idx="315">
                  <c:v>2007.89</c:v>
                </c:pt>
                <c:pt idx="316">
                  <c:v>2008.04</c:v>
                </c:pt>
                <c:pt idx="317">
                  <c:v>2008.04</c:v>
                </c:pt>
                <c:pt idx="318">
                  <c:v>2008.26</c:v>
                </c:pt>
                <c:pt idx="319">
                  <c:v>2008.42</c:v>
                </c:pt>
                <c:pt idx="320">
                  <c:v>2008.45</c:v>
                </c:pt>
                <c:pt idx="321">
                  <c:v>2008.83</c:v>
                </c:pt>
                <c:pt idx="322">
                  <c:v>2008.86</c:v>
                </c:pt>
                <c:pt idx="323">
                  <c:v>2009.03</c:v>
                </c:pt>
                <c:pt idx="324">
                  <c:v>2009.04</c:v>
                </c:pt>
                <c:pt idx="325">
                  <c:v>2009.05</c:v>
                </c:pt>
                <c:pt idx="326">
                  <c:v>2009.06</c:v>
                </c:pt>
                <c:pt idx="327">
                  <c:v>2009.07</c:v>
                </c:pt>
                <c:pt idx="328">
                  <c:v>2009.07</c:v>
                </c:pt>
                <c:pt idx="329">
                  <c:v>2009.08</c:v>
                </c:pt>
                <c:pt idx="330">
                  <c:v>2009.1</c:v>
                </c:pt>
                <c:pt idx="331">
                  <c:v>2009.11</c:v>
                </c:pt>
                <c:pt idx="332">
                  <c:v>2009.12</c:v>
                </c:pt>
                <c:pt idx="333">
                  <c:v>2009.12</c:v>
                </c:pt>
                <c:pt idx="334">
                  <c:v>2009.12</c:v>
                </c:pt>
                <c:pt idx="335">
                  <c:v>2009.27</c:v>
                </c:pt>
                <c:pt idx="336">
                  <c:v>2009.52</c:v>
                </c:pt>
                <c:pt idx="337">
                  <c:v>2009.53</c:v>
                </c:pt>
                <c:pt idx="338">
                  <c:v>2009.93</c:v>
                </c:pt>
                <c:pt idx="339">
                  <c:v>2010.19</c:v>
                </c:pt>
                <c:pt idx="340">
                  <c:v>2010.88</c:v>
                </c:pt>
                <c:pt idx="341">
                  <c:v>2010.9</c:v>
                </c:pt>
                <c:pt idx="342">
                  <c:v>2010.93</c:v>
                </c:pt>
                <c:pt idx="343">
                  <c:v>2010.93</c:v>
                </c:pt>
                <c:pt idx="344">
                  <c:v>2010.93</c:v>
                </c:pt>
                <c:pt idx="345">
                  <c:v>2010.94</c:v>
                </c:pt>
                <c:pt idx="346">
                  <c:v>2010.94</c:v>
                </c:pt>
                <c:pt idx="347">
                  <c:v>2010.96</c:v>
                </c:pt>
                <c:pt idx="348">
                  <c:v>2011.19</c:v>
                </c:pt>
                <c:pt idx="349">
                  <c:v>2011.36</c:v>
                </c:pt>
                <c:pt idx="350">
                  <c:v>2011.41</c:v>
                </c:pt>
                <c:pt idx="351">
                  <c:v>2011.41</c:v>
                </c:pt>
                <c:pt idx="352">
                  <c:v>2011.43</c:v>
                </c:pt>
                <c:pt idx="353">
                  <c:v>2011.46</c:v>
                </c:pt>
                <c:pt idx="354">
                  <c:v>2011.52</c:v>
                </c:pt>
                <c:pt idx="355">
                  <c:v>2011.55</c:v>
                </c:pt>
                <c:pt idx="356">
                  <c:v>2011.68</c:v>
                </c:pt>
                <c:pt idx="357">
                  <c:v>2011.71</c:v>
                </c:pt>
                <c:pt idx="358">
                  <c:v>2011.71</c:v>
                </c:pt>
                <c:pt idx="359">
                  <c:v>2011.75</c:v>
                </c:pt>
                <c:pt idx="360">
                  <c:v>2011.77</c:v>
                </c:pt>
                <c:pt idx="361">
                  <c:v>2011.78</c:v>
                </c:pt>
                <c:pt idx="362">
                  <c:v>2011.78</c:v>
                </c:pt>
                <c:pt idx="363">
                  <c:v>2011.79</c:v>
                </c:pt>
                <c:pt idx="364">
                  <c:v>2011.8</c:v>
                </c:pt>
                <c:pt idx="365">
                  <c:v>2011.9</c:v>
                </c:pt>
                <c:pt idx="366">
                  <c:v>2011.94</c:v>
                </c:pt>
                <c:pt idx="367">
                  <c:v>2012.05</c:v>
                </c:pt>
                <c:pt idx="368">
                  <c:v>2012.12</c:v>
                </c:pt>
                <c:pt idx="369">
                  <c:v>2012.46</c:v>
                </c:pt>
                <c:pt idx="370">
                  <c:v>2012.62</c:v>
                </c:pt>
                <c:pt idx="371">
                  <c:v>2012.9</c:v>
                </c:pt>
                <c:pt idx="372">
                  <c:v>2013.02</c:v>
                </c:pt>
                <c:pt idx="373">
                  <c:v>2013.31</c:v>
                </c:pt>
                <c:pt idx="374">
                  <c:v>2013.41</c:v>
                </c:pt>
                <c:pt idx="375">
                  <c:v>2013.43</c:v>
                </c:pt>
                <c:pt idx="376">
                  <c:v>2013.48</c:v>
                </c:pt>
                <c:pt idx="377">
                  <c:v>2013.56</c:v>
                </c:pt>
                <c:pt idx="378">
                  <c:v>2013.61</c:v>
                </c:pt>
                <c:pt idx="379">
                  <c:v>2013.63</c:v>
                </c:pt>
                <c:pt idx="380">
                  <c:v>2013.64</c:v>
                </c:pt>
                <c:pt idx="381">
                  <c:v>2013.69</c:v>
                </c:pt>
                <c:pt idx="382">
                  <c:v>2013.8</c:v>
                </c:pt>
                <c:pt idx="383">
                  <c:v>2013.96</c:v>
                </c:pt>
                <c:pt idx="384">
                  <c:v>2014.17</c:v>
                </c:pt>
                <c:pt idx="385">
                  <c:v>2014.56</c:v>
                </c:pt>
                <c:pt idx="386">
                  <c:v>2014.71</c:v>
                </c:pt>
                <c:pt idx="387">
                  <c:v>2014.78</c:v>
                </c:pt>
                <c:pt idx="388">
                  <c:v>2014.9</c:v>
                </c:pt>
                <c:pt idx="389">
                  <c:v>2015.07</c:v>
                </c:pt>
                <c:pt idx="390">
                  <c:v>2015.28</c:v>
                </c:pt>
                <c:pt idx="391">
                  <c:v>2015.42</c:v>
                </c:pt>
                <c:pt idx="392">
                  <c:v>2015.7</c:v>
                </c:pt>
                <c:pt idx="393">
                  <c:v>2015.75</c:v>
                </c:pt>
                <c:pt idx="394">
                  <c:v>2015.93</c:v>
                </c:pt>
                <c:pt idx="395">
                  <c:v>2016.13</c:v>
                </c:pt>
                <c:pt idx="396">
                  <c:v>2016.17</c:v>
                </c:pt>
                <c:pt idx="397">
                  <c:v>2016.19</c:v>
                </c:pt>
                <c:pt idx="398">
                  <c:v>2016.3</c:v>
                </c:pt>
                <c:pt idx="399">
                  <c:v>2016.38</c:v>
                </c:pt>
                <c:pt idx="400">
                  <c:v>2016.39</c:v>
                </c:pt>
                <c:pt idx="401">
                  <c:v>2016.41</c:v>
                </c:pt>
                <c:pt idx="402">
                  <c:v>2016.58</c:v>
                </c:pt>
                <c:pt idx="403">
                  <c:v>2016.58</c:v>
                </c:pt>
                <c:pt idx="404">
                  <c:v>2016.61</c:v>
                </c:pt>
                <c:pt idx="405">
                  <c:v>2016.68</c:v>
                </c:pt>
                <c:pt idx="406">
                  <c:v>2016.72</c:v>
                </c:pt>
                <c:pt idx="407">
                  <c:v>2016.74</c:v>
                </c:pt>
                <c:pt idx="408">
                  <c:v>2016.79</c:v>
                </c:pt>
                <c:pt idx="409">
                  <c:v>2017.08</c:v>
                </c:pt>
                <c:pt idx="410">
                  <c:v>2017.17</c:v>
                </c:pt>
                <c:pt idx="411">
                  <c:v>2017.2</c:v>
                </c:pt>
                <c:pt idx="412">
                  <c:v>2017.22</c:v>
                </c:pt>
                <c:pt idx="413">
                  <c:v>2017.23</c:v>
                </c:pt>
                <c:pt idx="414">
                  <c:v>2017.24</c:v>
                </c:pt>
                <c:pt idx="415">
                  <c:v>2017.26</c:v>
                </c:pt>
                <c:pt idx="416">
                  <c:v>2017.7</c:v>
                </c:pt>
                <c:pt idx="417">
                  <c:v>2017.98</c:v>
                </c:pt>
                <c:pt idx="418">
                  <c:v>2018.11</c:v>
                </c:pt>
                <c:pt idx="419">
                  <c:v>2018.23</c:v>
                </c:pt>
                <c:pt idx="420">
                  <c:v>2018.5</c:v>
                </c:pt>
                <c:pt idx="421">
                  <c:v>2018.74</c:v>
                </c:pt>
                <c:pt idx="422">
                  <c:v>2018.84</c:v>
                </c:pt>
                <c:pt idx="423">
                  <c:v>2018.9</c:v>
                </c:pt>
                <c:pt idx="424">
                  <c:v>2018.95</c:v>
                </c:pt>
                <c:pt idx="425">
                  <c:v>2018.98</c:v>
                </c:pt>
                <c:pt idx="426">
                  <c:v>2019.01</c:v>
                </c:pt>
                <c:pt idx="427">
                  <c:v>2019.05</c:v>
                </c:pt>
                <c:pt idx="428">
                  <c:v>2019.12</c:v>
                </c:pt>
                <c:pt idx="429">
                  <c:v>2019.19</c:v>
                </c:pt>
                <c:pt idx="430">
                  <c:v>2019.28</c:v>
                </c:pt>
                <c:pt idx="431">
                  <c:v>2019.31</c:v>
                </c:pt>
                <c:pt idx="432">
                  <c:v>2019.34</c:v>
                </c:pt>
                <c:pt idx="433">
                  <c:v>2019.63</c:v>
                </c:pt>
                <c:pt idx="434">
                  <c:v>2019.66</c:v>
                </c:pt>
                <c:pt idx="435">
                  <c:v>2019.67</c:v>
                </c:pt>
                <c:pt idx="436">
                  <c:v>2019.84</c:v>
                </c:pt>
                <c:pt idx="437">
                  <c:v>2019.87</c:v>
                </c:pt>
                <c:pt idx="438">
                  <c:v>2019.89</c:v>
                </c:pt>
                <c:pt idx="439">
                  <c:v>2019.9</c:v>
                </c:pt>
                <c:pt idx="440">
                  <c:v>2019.91</c:v>
                </c:pt>
              </c:numCache>
            </c:numRef>
          </c:xVal>
          <c:yVal>
            <c:numRef>
              <c:f>颜色分段折线图!$C$6:$C$446</c:f>
              <c:numCache>
                <c:formatCode>General</c:formatCode>
                <c:ptCount val="441"/>
                <c:pt idx="0">
                  <c:v>1.34162</c:v>
                </c:pt>
                <c:pt idx="1">
                  <c:v>1.4293400000000001</c:v>
                </c:pt>
                <c:pt idx="2">
                  <c:v>1.5170600000000001</c:v>
                </c:pt>
                <c:pt idx="3">
                  <c:v>1.6047800000000001</c:v>
                </c:pt>
                <c:pt idx="4">
                  <c:v>1.6912799999999999</c:v>
                </c:pt>
                <c:pt idx="5">
                  <c:v>1.7789999999999999</c:v>
                </c:pt>
                <c:pt idx="6">
                  <c:v>1.8667199999999999</c:v>
                </c:pt>
                <c:pt idx="7">
                  <c:v>1.9544299999999999</c:v>
                </c:pt>
                <c:pt idx="8">
                  <c:v>2.0421499999999999</c:v>
                </c:pt>
                <c:pt idx="9">
                  <c:v>2.1298699999999999</c:v>
                </c:pt>
                <c:pt idx="10">
                  <c:v>2.21759</c:v>
                </c:pt>
                <c:pt idx="11">
                  <c:v>2.30409</c:v>
                </c:pt>
                <c:pt idx="12">
                  <c:v>2.9400599999999999</c:v>
                </c:pt>
                <c:pt idx="13">
                  <c:v>2.3881600000000001</c:v>
                </c:pt>
                <c:pt idx="14">
                  <c:v>2.4734400000000001</c:v>
                </c:pt>
                <c:pt idx="15">
                  <c:v>2.9948800000000002</c:v>
                </c:pt>
                <c:pt idx="16">
                  <c:v>2.4283600000000001</c:v>
                </c:pt>
                <c:pt idx="17">
                  <c:v>2.6403500000000002</c:v>
                </c:pt>
                <c:pt idx="18">
                  <c:v>3.6052599999999999</c:v>
                </c:pt>
                <c:pt idx="19">
                  <c:v>3.6929799999999999</c:v>
                </c:pt>
                <c:pt idx="20">
                  <c:v>3.0740699999999999</c:v>
                </c:pt>
                <c:pt idx="21">
                  <c:v>3.5175399999999999</c:v>
                </c:pt>
                <c:pt idx="22">
                  <c:v>3.4298199999999999</c:v>
                </c:pt>
                <c:pt idx="23">
                  <c:v>3.3421099999999999</c:v>
                </c:pt>
                <c:pt idx="24">
                  <c:v>3.2543899999999999</c:v>
                </c:pt>
                <c:pt idx="25">
                  <c:v>3.1642299999999999</c:v>
                </c:pt>
                <c:pt idx="26">
                  <c:v>2.4100899999999998</c:v>
                </c:pt>
                <c:pt idx="27">
                  <c:v>2.44055</c:v>
                </c:pt>
                <c:pt idx="28">
                  <c:v>2.35283</c:v>
                </c:pt>
                <c:pt idx="29">
                  <c:v>2.6293899999999999</c:v>
                </c:pt>
                <c:pt idx="30">
                  <c:v>2.2785099999999998</c:v>
                </c:pt>
                <c:pt idx="31">
                  <c:v>2.1920099999999998</c:v>
                </c:pt>
                <c:pt idx="32">
                  <c:v>2.1055100000000002</c:v>
                </c:pt>
                <c:pt idx="33">
                  <c:v>2.0177900000000002</c:v>
                </c:pt>
                <c:pt idx="34">
                  <c:v>1.93007</c:v>
                </c:pt>
                <c:pt idx="35">
                  <c:v>1.8435699999999999</c:v>
                </c:pt>
                <c:pt idx="36">
                  <c:v>1.7558499999999999</c:v>
                </c:pt>
                <c:pt idx="37">
                  <c:v>1.6681299999999999</c:v>
                </c:pt>
                <c:pt idx="38">
                  <c:v>1.5804100000000001</c:v>
                </c:pt>
                <c:pt idx="39">
                  <c:v>1.4926900000000001</c:v>
                </c:pt>
                <c:pt idx="40">
                  <c:v>1.4049700000000001</c:v>
                </c:pt>
                <c:pt idx="41">
                  <c:v>1.31725</c:v>
                </c:pt>
                <c:pt idx="42">
                  <c:v>1.22953</c:v>
                </c:pt>
                <c:pt idx="43">
                  <c:v>1.14181</c:v>
                </c:pt>
                <c:pt idx="44">
                  <c:v>1.05409</c:v>
                </c:pt>
                <c:pt idx="45">
                  <c:v>0.96637399999999996</c:v>
                </c:pt>
                <c:pt idx="46">
                  <c:v>0.87987300000000002</c:v>
                </c:pt>
                <c:pt idx="47">
                  <c:v>0.79215400000000002</c:v>
                </c:pt>
                <c:pt idx="48">
                  <c:v>0.70443500000000003</c:v>
                </c:pt>
                <c:pt idx="49">
                  <c:v>0.61671500000000001</c:v>
                </c:pt>
                <c:pt idx="50">
                  <c:v>0.52899600000000002</c:v>
                </c:pt>
                <c:pt idx="51">
                  <c:v>0.44249500000000003</c:v>
                </c:pt>
                <c:pt idx="52">
                  <c:v>0.35599399999999998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0.32675399999999999</c:v>
                </c:pt>
                <c:pt idx="68">
                  <c:v>0.405945</c:v>
                </c:pt>
                <c:pt idx="69">
                  <c:v>0.49244599999999999</c:v>
                </c:pt>
                <c:pt idx="70">
                  <c:v>0.58016599999999996</c:v>
                </c:pt>
                <c:pt idx="71">
                  <c:v>2.1929800000000002E-3</c:v>
                </c:pt>
                <c:pt idx="72">
                  <c:v>0.66666700000000001</c:v>
                </c:pt>
                <c:pt idx="73">
                  <c:v>0.754386</c:v>
                </c:pt>
                <c:pt idx="74">
                  <c:v>0.84210499999999999</c:v>
                </c:pt>
                <c:pt idx="75">
                  <c:v>0.92738799999999999</c:v>
                </c:pt>
                <c:pt idx="76">
                  <c:v>0.95662800000000003</c:v>
                </c:pt>
                <c:pt idx="77">
                  <c:v>1.0431299999999999</c:v>
                </c:pt>
                <c:pt idx="78">
                  <c:v>1.5584800000000001</c:v>
                </c:pt>
                <c:pt idx="79">
                  <c:v>4.62963E-3</c:v>
                </c:pt>
                <c:pt idx="80">
                  <c:v>1.1296299999999999</c:v>
                </c:pt>
                <c:pt idx="81">
                  <c:v>1.2161299999999999</c:v>
                </c:pt>
                <c:pt idx="82">
                  <c:v>1.30263</c:v>
                </c:pt>
                <c:pt idx="83">
                  <c:v>0.98830399999999996</c:v>
                </c:pt>
                <c:pt idx="84">
                  <c:v>1.39035</c:v>
                </c:pt>
                <c:pt idx="85">
                  <c:v>1.47807</c:v>
                </c:pt>
                <c:pt idx="86">
                  <c:v>1.56335</c:v>
                </c:pt>
                <c:pt idx="87">
                  <c:v>1.64985</c:v>
                </c:pt>
                <c:pt idx="88">
                  <c:v>1.7375700000000001</c:v>
                </c:pt>
                <c:pt idx="89">
                  <c:v>1.8252900000000001</c:v>
                </c:pt>
                <c:pt idx="90">
                  <c:v>1.9130100000000001</c:v>
                </c:pt>
                <c:pt idx="91">
                  <c:v>2.0007299999999999</c:v>
                </c:pt>
                <c:pt idx="92">
                  <c:v>2.0896699999999999</c:v>
                </c:pt>
                <c:pt idx="93">
                  <c:v>2.1798199999999999</c:v>
                </c:pt>
                <c:pt idx="94">
                  <c:v>2.26145</c:v>
                </c:pt>
                <c:pt idx="95">
                  <c:v>2.2772899999999998</c:v>
                </c:pt>
                <c:pt idx="96">
                  <c:v>2.3637899999999998</c:v>
                </c:pt>
                <c:pt idx="97">
                  <c:v>2.4515099999999999</c:v>
                </c:pt>
                <c:pt idx="98">
                  <c:v>2.3174999999999999</c:v>
                </c:pt>
                <c:pt idx="99">
                  <c:v>2.5355799999999999</c:v>
                </c:pt>
                <c:pt idx="100">
                  <c:v>2.6172</c:v>
                </c:pt>
                <c:pt idx="101">
                  <c:v>2.6988300000000001</c:v>
                </c:pt>
                <c:pt idx="102">
                  <c:v>2.7841100000000001</c:v>
                </c:pt>
                <c:pt idx="103">
                  <c:v>2.8718300000000001</c:v>
                </c:pt>
                <c:pt idx="104">
                  <c:v>2.9595500000000001</c:v>
                </c:pt>
                <c:pt idx="105">
                  <c:v>3.0472700000000001</c:v>
                </c:pt>
                <c:pt idx="106">
                  <c:v>3.1362100000000002</c:v>
                </c:pt>
                <c:pt idx="107">
                  <c:v>3.2239300000000002</c:v>
                </c:pt>
                <c:pt idx="108">
                  <c:v>3.3055599999999998</c:v>
                </c:pt>
                <c:pt idx="109">
                  <c:v>3.3798699999999999</c:v>
                </c:pt>
                <c:pt idx="110">
                  <c:v>3.5748099999999998</c:v>
                </c:pt>
                <c:pt idx="111">
                  <c:v>3.4468800000000002</c:v>
                </c:pt>
                <c:pt idx="112">
                  <c:v>3.6052599999999999</c:v>
                </c:pt>
                <c:pt idx="113">
                  <c:v>2.9961000000000002</c:v>
                </c:pt>
                <c:pt idx="114">
                  <c:v>3.0570200000000001</c:v>
                </c:pt>
                <c:pt idx="115">
                  <c:v>2.6403500000000002</c:v>
                </c:pt>
                <c:pt idx="116">
                  <c:v>2.3369900000000001</c:v>
                </c:pt>
                <c:pt idx="117">
                  <c:v>2.2492700000000001</c:v>
                </c:pt>
                <c:pt idx="118">
                  <c:v>2.4247100000000001</c:v>
                </c:pt>
                <c:pt idx="119">
                  <c:v>2.1615500000000001</c:v>
                </c:pt>
                <c:pt idx="120">
                  <c:v>2.5124300000000002</c:v>
                </c:pt>
                <c:pt idx="121">
                  <c:v>2.6805599999999998</c:v>
                </c:pt>
                <c:pt idx="122">
                  <c:v>2.65741</c:v>
                </c:pt>
                <c:pt idx="123">
                  <c:v>2.5964900000000002</c:v>
                </c:pt>
                <c:pt idx="124">
                  <c:v>3.3104300000000002</c:v>
                </c:pt>
                <c:pt idx="125">
                  <c:v>3.2227100000000002</c:v>
                </c:pt>
                <c:pt idx="126">
                  <c:v>3.1349900000000002</c:v>
                </c:pt>
                <c:pt idx="127">
                  <c:v>3.0484900000000001</c:v>
                </c:pt>
                <c:pt idx="128">
                  <c:v>2.9607700000000001</c:v>
                </c:pt>
                <c:pt idx="129">
                  <c:v>2.7366000000000001</c:v>
                </c:pt>
                <c:pt idx="130">
                  <c:v>2.7889900000000001</c:v>
                </c:pt>
                <c:pt idx="131">
                  <c:v>2.6513200000000001</c:v>
                </c:pt>
                <c:pt idx="132">
                  <c:v>2.8767100000000001</c:v>
                </c:pt>
                <c:pt idx="133">
                  <c:v>2.7353800000000001</c:v>
                </c:pt>
                <c:pt idx="134">
                  <c:v>2.6671499999999999</c:v>
                </c:pt>
                <c:pt idx="135">
                  <c:v>2.5830899999999999</c:v>
                </c:pt>
                <c:pt idx="136">
                  <c:v>2.4953699999999999</c:v>
                </c:pt>
                <c:pt idx="137">
                  <c:v>2.4088699999999998</c:v>
                </c:pt>
                <c:pt idx="138">
                  <c:v>2.3223699999999998</c:v>
                </c:pt>
                <c:pt idx="139">
                  <c:v>2.2346499999999998</c:v>
                </c:pt>
                <c:pt idx="140">
                  <c:v>2.1469299999999998</c:v>
                </c:pt>
                <c:pt idx="141">
                  <c:v>2.0592100000000002</c:v>
                </c:pt>
                <c:pt idx="142">
                  <c:v>1.97149</c:v>
                </c:pt>
                <c:pt idx="143">
                  <c:v>1.8837699999999999</c:v>
                </c:pt>
                <c:pt idx="144">
                  <c:v>1.7960499999999999</c:v>
                </c:pt>
                <c:pt idx="145">
                  <c:v>1.7095499999999999</c:v>
                </c:pt>
                <c:pt idx="146">
                  <c:v>1.6218300000000001</c:v>
                </c:pt>
                <c:pt idx="147">
                  <c:v>1.5341100000000001</c:v>
                </c:pt>
                <c:pt idx="148">
                  <c:v>1.4463900000000001</c:v>
                </c:pt>
                <c:pt idx="149">
                  <c:v>1.35867</c:v>
                </c:pt>
                <c:pt idx="150">
                  <c:v>1.27217</c:v>
                </c:pt>
                <c:pt idx="151">
                  <c:v>1.18445</c:v>
                </c:pt>
                <c:pt idx="152">
                  <c:v>1.09673</c:v>
                </c:pt>
                <c:pt idx="153">
                  <c:v>1.01145</c:v>
                </c:pt>
                <c:pt idx="154">
                  <c:v>0.92738799999999999</c:v>
                </c:pt>
                <c:pt idx="155">
                  <c:v>0.53874299999999997</c:v>
                </c:pt>
                <c:pt idx="156">
                  <c:v>0.84332399999999996</c:v>
                </c:pt>
                <c:pt idx="157">
                  <c:v>0.76169600000000004</c:v>
                </c:pt>
                <c:pt idx="158">
                  <c:v>0.52412300000000001</c:v>
                </c:pt>
                <c:pt idx="159">
                  <c:v>1.7363500000000001</c:v>
                </c:pt>
                <c:pt idx="160">
                  <c:v>1.64985</c:v>
                </c:pt>
                <c:pt idx="161">
                  <c:v>1.56579</c:v>
                </c:pt>
                <c:pt idx="162">
                  <c:v>1.47807</c:v>
                </c:pt>
                <c:pt idx="163">
                  <c:v>1.3964399999999999</c:v>
                </c:pt>
                <c:pt idx="164">
                  <c:v>1.27583</c:v>
                </c:pt>
                <c:pt idx="165">
                  <c:v>1.4013199999999999</c:v>
                </c:pt>
                <c:pt idx="166">
                  <c:v>1.23441</c:v>
                </c:pt>
                <c:pt idx="167">
                  <c:v>1.1600900000000001</c:v>
                </c:pt>
                <c:pt idx="168">
                  <c:v>1.07237</c:v>
                </c:pt>
                <c:pt idx="169">
                  <c:v>0.984649</c:v>
                </c:pt>
                <c:pt idx="170">
                  <c:v>0.89693000000000001</c:v>
                </c:pt>
                <c:pt idx="171">
                  <c:v>0.80921100000000001</c:v>
                </c:pt>
                <c:pt idx="172">
                  <c:v>0.72270999999999996</c:v>
                </c:pt>
                <c:pt idx="173">
                  <c:v>0.644737</c:v>
                </c:pt>
                <c:pt idx="174">
                  <c:v>0.58503899999999998</c:v>
                </c:pt>
                <c:pt idx="175">
                  <c:v>0.29386000000000001</c:v>
                </c:pt>
                <c:pt idx="176">
                  <c:v>8.2845999999999996E-3</c:v>
                </c:pt>
                <c:pt idx="177">
                  <c:v>0.29386000000000001</c:v>
                </c:pt>
                <c:pt idx="178">
                  <c:v>2.1929800000000002E-3</c:v>
                </c:pt>
                <c:pt idx="179">
                  <c:v>1.05044</c:v>
                </c:pt>
                <c:pt idx="180">
                  <c:v>0.86038000000000003</c:v>
                </c:pt>
                <c:pt idx="181">
                  <c:v>0.78240699999999996</c:v>
                </c:pt>
                <c:pt idx="182">
                  <c:v>0.70077999999999996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0.123294</c:v>
                </c:pt>
                <c:pt idx="203">
                  <c:v>3.6793399999999997E-2</c:v>
                </c:pt>
                <c:pt idx="204">
                  <c:v>0.20979500000000001</c:v>
                </c:pt>
                <c:pt idx="205">
                  <c:v>0.296296</c:v>
                </c:pt>
                <c:pt idx="206">
                  <c:v>0.38401600000000002</c:v>
                </c:pt>
                <c:pt idx="207">
                  <c:v>0.47173500000000002</c:v>
                </c:pt>
                <c:pt idx="208">
                  <c:v>0.55945400000000001</c:v>
                </c:pt>
                <c:pt idx="209">
                  <c:v>0.647173</c:v>
                </c:pt>
                <c:pt idx="210">
                  <c:v>0.73489300000000002</c:v>
                </c:pt>
                <c:pt idx="211">
                  <c:v>0.82261200000000001</c:v>
                </c:pt>
                <c:pt idx="212">
                  <c:v>0.910331</c:v>
                </c:pt>
                <c:pt idx="213">
                  <c:v>0.99805100000000002</c:v>
                </c:pt>
                <c:pt idx="214">
                  <c:v>1.0857699999999999</c:v>
                </c:pt>
                <c:pt idx="215">
                  <c:v>1.1747099999999999</c:v>
                </c:pt>
                <c:pt idx="216">
                  <c:v>1.2624299999999999</c:v>
                </c:pt>
                <c:pt idx="217">
                  <c:v>4.62963E-3</c:v>
                </c:pt>
                <c:pt idx="218">
                  <c:v>1.34649</c:v>
                </c:pt>
                <c:pt idx="219">
                  <c:v>2.1929800000000002E-3</c:v>
                </c:pt>
                <c:pt idx="220">
                  <c:v>1.4293400000000001</c:v>
                </c:pt>
                <c:pt idx="221">
                  <c:v>1.5134000000000001</c:v>
                </c:pt>
                <c:pt idx="222">
                  <c:v>1.5999000000000001</c:v>
                </c:pt>
                <c:pt idx="223">
                  <c:v>1.6863999999999999</c:v>
                </c:pt>
                <c:pt idx="224">
                  <c:v>1.7728999999999999</c:v>
                </c:pt>
                <c:pt idx="225">
                  <c:v>1.85819</c:v>
                </c:pt>
                <c:pt idx="226">
                  <c:v>1.94103</c:v>
                </c:pt>
                <c:pt idx="227">
                  <c:v>2.1929800000000002E-3</c:v>
                </c:pt>
                <c:pt idx="228">
                  <c:v>2.0263200000000001</c:v>
                </c:pt>
                <c:pt idx="229">
                  <c:v>2.1140400000000001</c:v>
                </c:pt>
                <c:pt idx="230">
                  <c:v>2.2005400000000002</c:v>
                </c:pt>
                <c:pt idx="231">
                  <c:v>2.2882600000000002</c:v>
                </c:pt>
                <c:pt idx="232">
                  <c:v>2.3759700000000001</c:v>
                </c:pt>
                <c:pt idx="233">
                  <c:v>2.4636900000000002</c:v>
                </c:pt>
                <c:pt idx="234">
                  <c:v>2.5501900000000002</c:v>
                </c:pt>
                <c:pt idx="235">
                  <c:v>2.6379100000000002</c:v>
                </c:pt>
                <c:pt idx="236">
                  <c:v>2.7256300000000002</c:v>
                </c:pt>
                <c:pt idx="237">
                  <c:v>2.8133499999999998</c:v>
                </c:pt>
                <c:pt idx="238">
                  <c:v>2.9035099999999998</c:v>
                </c:pt>
                <c:pt idx="239">
                  <c:v>2.9936600000000002</c:v>
                </c:pt>
                <c:pt idx="240">
                  <c:v>2.1929800000000002E-3</c:v>
                </c:pt>
                <c:pt idx="241">
                  <c:v>3.0740699999999999</c:v>
                </c:pt>
                <c:pt idx="242">
                  <c:v>3.1325500000000002</c:v>
                </c:pt>
                <c:pt idx="243">
                  <c:v>2.3430800000000001</c:v>
                </c:pt>
                <c:pt idx="244">
                  <c:v>2.0787</c:v>
                </c:pt>
                <c:pt idx="245">
                  <c:v>2.16642</c:v>
                </c:pt>
                <c:pt idx="246">
                  <c:v>2.25414</c:v>
                </c:pt>
                <c:pt idx="247">
                  <c:v>2.4295800000000001</c:v>
                </c:pt>
                <c:pt idx="248">
                  <c:v>2.7231999999999998</c:v>
                </c:pt>
                <c:pt idx="249">
                  <c:v>2.5075500000000002</c:v>
                </c:pt>
                <c:pt idx="250">
                  <c:v>2.57578</c:v>
                </c:pt>
                <c:pt idx="251">
                  <c:v>2.7171099999999999</c:v>
                </c:pt>
                <c:pt idx="252">
                  <c:v>3.3530700000000002</c:v>
                </c:pt>
                <c:pt idx="253">
                  <c:v>3.3810899999999999</c:v>
                </c:pt>
                <c:pt idx="254">
                  <c:v>2.92178</c:v>
                </c:pt>
                <c:pt idx="255">
                  <c:v>3.4505400000000002</c:v>
                </c:pt>
                <c:pt idx="256">
                  <c:v>2.8182299999999998</c:v>
                </c:pt>
                <c:pt idx="257">
                  <c:v>2.9047299999999998</c:v>
                </c:pt>
                <c:pt idx="258">
                  <c:v>3.7916699999999999</c:v>
                </c:pt>
                <c:pt idx="259">
                  <c:v>3.5285099999999998</c:v>
                </c:pt>
                <c:pt idx="260">
                  <c:v>3.6162299999999998</c:v>
                </c:pt>
                <c:pt idx="261">
                  <c:v>3.7039499999999999</c:v>
                </c:pt>
                <c:pt idx="262">
                  <c:v>2.7414700000000001</c:v>
                </c:pt>
                <c:pt idx="263">
                  <c:v>2.9144700000000001</c:v>
                </c:pt>
                <c:pt idx="264">
                  <c:v>2.66228</c:v>
                </c:pt>
                <c:pt idx="265">
                  <c:v>2.57456</c:v>
                </c:pt>
                <c:pt idx="266">
                  <c:v>2.4880599999999999</c:v>
                </c:pt>
                <c:pt idx="267">
                  <c:v>2.4003399999999999</c:v>
                </c:pt>
                <c:pt idx="268">
                  <c:v>2.3126199999999999</c:v>
                </c:pt>
                <c:pt idx="269">
                  <c:v>2.2248999999999999</c:v>
                </c:pt>
                <c:pt idx="270">
                  <c:v>2.1383999999999999</c:v>
                </c:pt>
                <c:pt idx="271">
                  <c:v>2.0518999999999998</c:v>
                </c:pt>
                <c:pt idx="272">
                  <c:v>1.96418</c:v>
                </c:pt>
                <c:pt idx="273">
                  <c:v>1.87768</c:v>
                </c:pt>
                <c:pt idx="274">
                  <c:v>1.7924</c:v>
                </c:pt>
                <c:pt idx="275">
                  <c:v>1.70712</c:v>
                </c:pt>
                <c:pt idx="276">
                  <c:v>1.6194</c:v>
                </c:pt>
                <c:pt idx="277">
                  <c:v>1.5328900000000001</c:v>
                </c:pt>
                <c:pt idx="278">
                  <c:v>1.4463900000000001</c:v>
                </c:pt>
                <c:pt idx="279">
                  <c:v>1.35867</c:v>
                </c:pt>
                <c:pt idx="280">
                  <c:v>1.2709600000000001</c:v>
                </c:pt>
                <c:pt idx="281">
                  <c:v>1.1832400000000001</c:v>
                </c:pt>
                <c:pt idx="282">
                  <c:v>1.09673</c:v>
                </c:pt>
                <c:pt idx="283">
                  <c:v>1.00902</c:v>
                </c:pt>
                <c:pt idx="284">
                  <c:v>0.92251499999999997</c:v>
                </c:pt>
                <c:pt idx="285">
                  <c:v>0.83723199999999998</c:v>
                </c:pt>
                <c:pt idx="286">
                  <c:v>0.75194899999999998</c:v>
                </c:pt>
                <c:pt idx="287">
                  <c:v>0.66544800000000004</c:v>
                </c:pt>
                <c:pt idx="288">
                  <c:v>0.57894699999999999</c:v>
                </c:pt>
                <c:pt idx="289">
                  <c:v>8.2845999999999996E-3</c:v>
                </c:pt>
                <c:pt idx="290">
                  <c:v>0.49244599999999999</c:v>
                </c:pt>
                <c:pt idx="291">
                  <c:v>0.40838200000000002</c:v>
                </c:pt>
                <c:pt idx="292">
                  <c:v>1.1208600000000001E-2</c:v>
                </c:pt>
                <c:pt idx="293">
                  <c:v>0.32553599999999999</c:v>
                </c:pt>
                <c:pt idx="294">
                  <c:v>0.24025299999999999</c:v>
                </c:pt>
                <c:pt idx="295">
                  <c:v>8.2845999999999996E-3</c:v>
                </c:pt>
                <c:pt idx="296">
                  <c:v>7.0906399999999994E-2</c:v>
                </c:pt>
                <c:pt idx="297">
                  <c:v>0.152534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0.66057500000000002</c:v>
                </c:pt>
                <c:pt idx="318">
                  <c:v>1.1820200000000001</c:v>
                </c:pt>
                <c:pt idx="319">
                  <c:v>2.0592100000000002</c:v>
                </c:pt>
                <c:pt idx="320">
                  <c:v>4.62963E-3</c:v>
                </c:pt>
                <c:pt idx="321">
                  <c:v>2.0567700000000002</c:v>
                </c:pt>
                <c:pt idx="322">
                  <c:v>2.1929800000000002E-3</c:v>
                </c:pt>
                <c:pt idx="323">
                  <c:v>3.0911300000000002</c:v>
                </c:pt>
                <c:pt idx="324">
                  <c:v>3.0034100000000001</c:v>
                </c:pt>
                <c:pt idx="325">
                  <c:v>3.1788500000000002</c:v>
                </c:pt>
                <c:pt idx="326">
                  <c:v>3.2665700000000002</c:v>
                </c:pt>
                <c:pt idx="327">
                  <c:v>3.7051699999999999</c:v>
                </c:pt>
                <c:pt idx="328">
                  <c:v>3.3542900000000002</c:v>
                </c:pt>
                <c:pt idx="329">
                  <c:v>3.7928799999999998</c:v>
                </c:pt>
                <c:pt idx="330">
                  <c:v>3.6174499999999998</c:v>
                </c:pt>
                <c:pt idx="331">
                  <c:v>3.4420099999999998</c:v>
                </c:pt>
                <c:pt idx="332">
                  <c:v>2.6842100000000002</c:v>
                </c:pt>
                <c:pt idx="333">
                  <c:v>3.5297299999999998</c:v>
                </c:pt>
                <c:pt idx="334">
                  <c:v>2.9181300000000001</c:v>
                </c:pt>
                <c:pt idx="335">
                  <c:v>2.1929800000000002E-3</c:v>
                </c:pt>
                <c:pt idx="336">
                  <c:v>3.4407899999999998</c:v>
                </c:pt>
                <c:pt idx="337">
                  <c:v>2.6720299999999999</c:v>
                </c:pt>
                <c:pt idx="338">
                  <c:v>3.4383499999999998</c:v>
                </c:pt>
                <c:pt idx="339">
                  <c:v>3.3969299999999998</c:v>
                </c:pt>
                <c:pt idx="340">
                  <c:v>2.8718300000000001</c:v>
                </c:pt>
                <c:pt idx="341">
                  <c:v>2.7828900000000001</c:v>
                </c:pt>
                <c:pt idx="342">
                  <c:v>2.5197400000000001</c:v>
                </c:pt>
                <c:pt idx="343">
                  <c:v>2.4320200000000001</c:v>
                </c:pt>
                <c:pt idx="344">
                  <c:v>2.3443000000000001</c:v>
                </c:pt>
                <c:pt idx="345">
                  <c:v>2.6074600000000001</c:v>
                </c:pt>
                <c:pt idx="346">
                  <c:v>2.6951800000000001</c:v>
                </c:pt>
                <c:pt idx="347">
                  <c:v>2.9546800000000002</c:v>
                </c:pt>
                <c:pt idx="348">
                  <c:v>3.0241199999999999</c:v>
                </c:pt>
                <c:pt idx="349">
                  <c:v>3.5699299999999998</c:v>
                </c:pt>
                <c:pt idx="350">
                  <c:v>3.3092100000000002</c:v>
                </c:pt>
                <c:pt idx="351">
                  <c:v>3.2214900000000002</c:v>
                </c:pt>
                <c:pt idx="352">
                  <c:v>3.3969299999999998</c:v>
                </c:pt>
                <c:pt idx="353">
                  <c:v>3.4846499999999998</c:v>
                </c:pt>
                <c:pt idx="354">
                  <c:v>3.1374300000000002</c:v>
                </c:pt>
                <c:pt idx="355">
                  <c:v>3.0667599999999999</c:v>
                </c:pt>
                <c:pt idx="356">
                  <c:v>3.0436200000000002</c:v>
                </c:pt>
                <c:pt idx="357">
                  <c:v>3.06067</c:v>
                </c:pt>
                <c:pt idx="358">
                  <c:v>2.9559000000000002</c:v>
                </c:pt>
                <c:pt idx="359">
                  <c:v>2.8694000000000002</c:v>
                </c:pt>
                <c:pt idx="360">
                  <c:v>2.7816800000000002</c:v>
                </c:pt>
                <c:pt idx="361">
                  <c:v>2.5185200000000001</c:v>
                </c:pt>
                <c:pt idx="362">
                  <c:v>2.6062400000000001</c:v>
                </c:pt>
                <c:pt idx="363">
                  <c:v>2.6939600000000001</c:v>
                </c:pt>
                <c:pt idx="364">
                  <c:v>2.4308000000000001</c:v>
                </c:pt>
                <c:pt idx="365">
                  <c:v>2.34552</c:v>
                </c:pt>
                <c:pt idx="366">
                  <c:v>2.2578</c:v>
                </c:pt>
                <c:pt idx="367">
                  <c:v>1.9056999999999999</c:v>
                </c:pt>
                <c:pt idx="368">
                  <c:v>2.1786099999999999</c:v>
                </c:pt>
                <c:pt idx="369">
                  <c:v>1.9130100000000001</c:v>
                </c:pt>
                <c:pt idx="370">
                  <c:v>1.5755399999999999</c:v>
                </c:pt>
                <c:pt idx="371">
                  <c:v>1.5109600000000001</c:v>
                </c:pt>
                <c:pt idx="372">
                  <c:v>1.7363500000000001</c:v>
                </c:pt>
                <c:pt idx="373">
                  <c:v>1.7863100000000001</c:v>
                </c:pt>
                <c:pt idx="374">
                  <c:v>1.8715900000000001</c:v>
                </c:pt>
                <c:pt idx="375">
                  <c:v>1.7521899999999999</c:v>
                </c:pt>
                <c:pt idx="376">
                  <c:v>1.9580900000000001</c:v>
                </c:pt>
                <c:pt idx="377">
                  <c:v>2.0433699999999999</c:v>
                </c:pt>
                <c:pt idx="378">
                  <c:v>2.1298699999999999</c:v>
                </c:pt>
                <c:pt idx="379">
                  <c:v>2.21759</c:v>
                </c:pt>
                <c:pt idx="380">
                  <c:v>2.30531</c:v>
                </c:pt>
                <c:pt idx="381">
                  <c:v>2.39303</c:v>
                </c:pt>
                <c:pt idx="382">
                  <c:v>2.4771000000000001</c:v>
                </c:pt>
                <c:pt idx="383">
                  <c:v>2.5575000000000001</c:v>
                </c:pt>
                <c:pt idx="384">
                  <c:v>2.6330399999999998</c:v>
                </c:pt>
                <c:pt idx="385">
                  <c:v>2.5964900000000002</c:v>
                </c:pt>
                <c:pt idx="386">
                  <c:v>2.5209600000000001</c:v>
                </c:pt>
                <c:pt idx="387">
                  <c:v>2.4320200000000001</c:v>
                </c:pt>
                <c:pt idx="388">
                  <c:v>2.34917</c:v>
                </c:pt>
                <c:pt idx="389">
                  <c:v>2.2687599999999999</c:v>
                </c:pt>
                <c:pt idx="390">
                  <c:v>2.1944400000000002</c:v>
                </c:pt>
                <c:pt idx="391">
                  <c:v>2.1128200000000001</c:v>
                </c:pt>
                <c:pt idx="392">
                  <c:v>2.1018500000000002</c:v>
                </c:pt>
                <c:pt idx="393">
                  <c:v>2.0153500000000002</c:v>
                </c:pt>
                <c:pt idx="394">
                  <c:v>2.0104799999999998</c:v>
                </c:pt>
                <c:pt idx="395">
                  <c:v>1.9337200000000001</c:v>
                </c:pt>
                <c:pt idx="396">
                  <c:v>1.8472200000000001</c:v>
                </c:pt>
                <c:pt idx="397">
                  <c:v>1.7595000000000001</c:v>
                </c:pt>
                <c:pt idx="398">
                  <c:v>1.67544</c:v>
                </c:pt>
                <c:pt idx="399">
                  <c:v>1.43543</c:v>
                </c:pt>
                <c:pt idx="400">
                  <c:v>1.59016</c:v>
                </c:pt>
                <c:pt idx="401">
                  <c:v>1.50244</c:v>
                </c:pt>
                <c:pt idx="402">
                  <c:v>1.4220299999999999</c:v>
                </c:pt>
                <c:pt idx="403">
                  <c:v>1.4488300000000001</c:v>
                </c:pt>
                <c:pt idx="404">
                  <c:v>1.1064799999999999</c:v>
                </c:pt>
                <c:pt idx="405">
                  <c:v>1.1929799999999999</c:v>
                </c:pt>
                <c:pt idx="406">
                  <c:v>1.2806999999999999</c:v>
                </c:pt>
                <c:pt idx="407">
                  <c:v>1.36842</c:v>
                </c:pt>
                <c:pt idx="408">
                  <c:v>1.4269000000000001</c:v>
                </c:pt>
                <c:pt idx="409">
                  <c:v>1.47685</c:v>
                </c:pt>
                <c:pt idx="410">
                  <c:v>2.0043899999999999</c:v>
                </c:pt>
                <c:pt idx="411">
                  <c:v>1.9166700000000001</c:v>
                </c:pt>
                <c:pt idx="412">
                  <c:v>1.8289500000000001</c:v>
                </c:pt>
                <c:pt idx="413">
                  <c:v>1.5597000000000001</c:v>
                </c:pt>
                <c:pt idx="414">
                  <c:v>1.7412300000000001</c:v>
                </c:pt>
                <c:pt idx="415">
                  <c:v>1.65107</c:v>
                </c:pt>
                <c:pt idx="416">
                  <c:v>1.2478100000000001</c:v>
                </c:pt>
                <c:pt idx="417">
                  <c:v>1.1174500000000001</c:v>
                </c:pt>
                <c:pt idx="418">
                  <c:v>1.2392799999999999</c:v>
                </c:pt>
                <c:pt idx="419">
                  <c:v>1.04922</c:v>
                </c:pt>
                <c:pt idx="420">
                  <c:v>0.98343100000000006</c:v>
                </c:pt>
                <c:pt idx="421">
                  <c:v>0.91398599999999997</c:v>
                </c:pt>
                <c:pt idx="422">
                  <c:v>0.83113999999999999</c:v>
                </c:pt>
                <c:pt idx="423">
                  <c:v>0.74463900000000005</c:v>
                </c:pt>
                <c:pt idx="424">
                  <c:v>0.658138</c:v>
                </c:pt>
                <c:pt idx="425">
                  <c:v>0.57041900000000001</c:v>
                </c:pt>
                <c:pt idx="426">
                  <c:v>0.48270000000000002</c:v>
                </c:pt>
                <c:pt idx="427">
                  <c:v>0.39619900000000002</c:v>
                </c:pt>
                <c:pt idx="428">
                  <c:v>0.30969799999999997</c:v>
                </c:pt>
                <c:pt idx="429">
                  <c:v>0.22319700000000001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6.35965E-2</c:v>
                </c:pt>
                <c:pt idx="437">
                  <c:v>0.15131600000000001</c:v>
                </c:pt>
                <c:pt idx="438">
                  <c:v>0.239035</c:v>
                </c:pt>
                <c:pt idx="439">
                  <c:v>0.32675399999999999</c:v>
                </c:pt>
                <c:pt idx="440">
                  <c:v>7.5536099999999997E-3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27-45D1-8A04-414A72B5BB8C}"/>
            </c:ext>
          </c:extLst>
        </c:ser>
        <c:ser>
          <c:idx val="1"/>
          <c:order val="1"/>
          <c:tx>
            <c:strRef>
              <c:f>颜色分段折线图!$D$5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rgbClr val="B71C1C"/>
              </a:solidFill>
              <a:round/>
            </a:ln>
            <a:effectLst/>
          </c:spPr>
          <c:marker>
            <c:symbol val="none"/>
          </c:marker>
          <c:xVal>
            <c:numRef>
              <c:f>颜色分段折线图!$A$6:$A$446</c:f>
              <c:numCache>
                <c:formatCode>General</c:formatCode>
                <c:ptCount val="441"/>
                <c:pt idx="0">
                  <c:v>1987.29</c:v>
                </c:pt>
                <c:pt idx="1">
                  <c:v>1987.3</c:v>
                </c:pt>
                <c:pt idx="2">
                  <c:v>1987.34</c:v>
                </c:pt>
                <c:pt idx="3">
                  <c:v>1987.37</c:v>
                </c:pt>
                <c:pt idx="4">
                  <c:v>1987.42</c:v>
                </c:pt>
                <c:pt idx="5">
                  <c:v>1987.46</c:v>
                </c:pt>
                <c:pt idx="6">
                  <c:v>1987.49</c:v>
                </c:pt>
                <c:pt idx="7">
                  <c:v>1987.51</c:v>
                </c:pt>
                <c:pt idx="8">
                  <c:v>1987.51</c:v>
                </c:pt>
                <c:pt idx="9">
                  <c:v>1987.53</c:v>
                </c:pt>
                <c:pt idx="10">
                  <c:v>1987.58</c:v>
                </c:pt>
                <c:pt idx="11">
                  <c:v>1987.67</c:v>
                </c:pt>
                <c:pt idx="12">
                  <c:v>1987.69</c:v>
                </c:pt>
                <c:pt idx="13">
                  <c:v>1987.78</c:v>
                </c:pt>
                <c:pt idx="14">
                  <c:v>1987.88</c:v>
                </c:pt>
                <c:pt idx="15">
                  <c:v>1988.02</c:v>
                </c:pt>
                <c:pt idx="16">
                  <c:v>1988.04</c:v>
                </c:pt>
                <c:pt idx="17">
                  <c:v>1988.1</c:v>
                </c:pt>
                <c:pt idx="18">
                  <c:v>1988.13</c:v>
                </c:pt>
                <c:pt idx="19">
                  <c:v>1988.14</c:v>
                </c:pt>
                <c:pt idx="20">
                  <c:v>1988.15</c:v>
                </c:pt>
                <c:pt idx="21">
                  <c:v>1988.16</c:v>
                </c:pt>
                <c:pt idx="22">
                  <c:v>1988.16</c:v>
                </c:pt>
                <c:pt idx="23">
                  <c:v>1988.16</c:v>
                </c:pt>
                <c:pt idx="24">
                  <c:v>1988.16</c:v>
                </c:pt>
                <c:pt idx="25">
                  <c:v>1988.17</c:v>
                </c:pt>
                <c:pt idx="26">
                  <c:v>1988.44</c:v>
                </c:pt>
                <c:pt idx="27">
                  <c:v>1988.45</c:v>
                </c:pt>
                <c:pt idx="28">
                  <c:v>1988.48</c:v>
                </c:pt>
                <c:pt idx="29">
                  <c:v>1988.51</c:v>
                </c:pt>
                <c:pt idx="30">
                  <c:v>1988.68</c:v>
                </c:pt>
                <c:pt idx="31">
                  <c:v>1988.73</c:v>
                </c:pt>
                <c:pt idx="32">
                  <c:v>1988.76</c:v>
                </c:pt>
                <c:pt idx="33">
                  <c:v>1988.8</c:v>
                </c:pt>
                <c:pt idx="34">
                  <c:v>1988.83</c:v>
                </c:pt>
                <c:pt idx="35">
                  <c:v>1988.86</c:v>
                </c:pt>
                <c:pt idx="36">
                  <c:v>1988.87</c:v>
                </c:pt>
                <c:pt idx="37">
                  <c:v>1988.88</c:v>
                </c:pt>
                <c:pt idx="38">
                  <c:v>1988.89</c:v>
                </c:pt>
                <c:pt idx="39">
                  <c:v>1988.9</c:v>
                </c:pt>
                <c:pt idx="40">
                  <c:v>1988.92</c:v>
                </c:pt>
                <c:pt idx="41">
                  <c:v>1988.93</c:v>
                </c:pt>
                <c:pt idx="42">
                  <c:v>1988.94</c:v>
                </c:pt>
                <c:pt idx="43">
                  <c:v>1988.97</c:v>
                </c:pt>
                <c:pt idx="44">
                  <c:v>1989</c:v>
                </c:pt>
                <c:pt idx="45">
                  <c:v>1989.03</c:v>
                </c:pt>
                <c:pt idx="46">
                  <c:v>1989.07</c:v>
                </c:pt>
                <c:pt idx="47">
                  <c:v>1989.09</c:v>
                </c:pt>
                <c:pt idx="48">
                  <c:v>1989.11</c:v>
                </c:pt>
                <c:pt idx="49">
                  <c:v>1989.13</c:v>
                </c:pt>
                <c:pt idx="50">
                  <c:v>1989.16</c:v>
                </c:pt>
                <c:pt idx="51">
                  <c:v>1989.22</c:v>
                </c:pt>
                <c:pt idx="52">
                  <c:v>1989.3</c:v>
                </c:pt>
                <c:pt idx="53">
                  <c:v>1989.32</c:v>
                </c:pt>
                <c:pt idx="54">
                  <c:v>1989.43</c:v>
                </c:pt>
                <c:pt idx="55">
                  <c:v>1989.48</c:v>
                </c:pt>
                <c:pt idx="56">
                  <c:v>1989.61</c:v>
                </c:pt>
                <c:pt idx="57">
                  <c:v>1989.64</c:v>
                </c:pt>
                <c:pt idx="58">
                  <c:v>1989.67</c:v>
                </c:pt>
                <c:pt idx="59">
                  <c:v>1989.69</c:v>
                </c:pt>
                <c:pt idx="60">
                  <c:v>1989.72</c:v>
                </c:pt>
                <c:pt idx="61">
                  <c:v>1989.78</c:v>
                </c:pt>
                <c:pt idx="62">
                  <c:v>1989.82</c:v>
                </c:pt>
                <c:pt idx="63">
                  <c:v>1989.9</c:v>
                </c:pt>
                <c:pt idx="64">
                  <c:v>1989.96</c:v>
                </c:pt>
                <c:pt idx="65">
                  <c:v>1990.05</c:v>
                </c:pt>
                <c:pt idx="66">
                  <c:v>1990.13</c:v>
                </c:pt>
                <c:pt idx="67">
                  <c:v>1990.19</c:v>
                </c:pt>
                <c:pt idx="68">
                  <c:v>1990.36</c:v>
                </c:pt>
                <c:pt idx="69">
                  <c:v>1990.45</c:v>
                </c:pt>
                <c:pt idx="70">
                  <c:v>1990.52</c:v>
                </c:pt>
                <c:pt idx="71">
                  <c:v>1990.54</c:v>
                </c:pt>
                <c:pt idx="72">
                  <c:v>1990.58</c:v>
                </c:pt>
                <c:pt idx="73">
                  <c:v>1990.61</c:v>
                </c:pt>
                <c:pt idx="74">
                  <c:v>1990.62</c:v>
                </c:pt>
                <c:pt idx="75">
                  <c:v>1990.73</c:v>
                </c:pt>
                <c:pt idx="76">
                  <c:v>1990.88</c:v>
                </c:pt>
                <c:pt idx="77">
                  <c:v>1990.93</c:v>
                </c:pt>
                <c:pt idx="78">
                  <c:v>1990.94</c:v>
                </c:pt>
                <c:pt idx="79">
                  <c:v>1990.95</c:v>
                </c:pt>
                <c:pt idx="80">
                  <c:v>1990.97</c:v>
                </c:pt>
                <c:pt idx="81">
                  <c:v>1990.99</c:v>
                </c:pt>
                <c:pt idx="82">
                  <c:v>1991.01</c:v>
                </c:pt>
                <c:pt idx="83">
                  <c:v>1991.03</c:v>
                </c:pt>
                <c:pt idx="84">
                  <c:v>1991.05</c:v>
                </c:pt>
                <c:pt idx="85">
                  <c:v>1991.09</c:v>
                </c:pt>
                <c:pt idx="86">
                  <c:v>1991.19</c:v>
                </c:pt>
                <c:pt idx="87">
                  <c:v>1991.26</c:v>
                </c:pt>
                <c:pt idx="88">
                  <c:v>1991.29</c:v>
                </c:pt>
                <c:pt idx="89">
                  <c:v>1991.32</c:v>
                </c:pt>
                <c:pt idx="90">
                  <c:v>1991.34</c:v>
                </c:pt>
                <c:pt idx="91">
                  <c:v>1991.38</c:v>
                </c:pt>
                <c:pt idx="92">
                  <c:v>1991.41</c:v>
                </c:pt>
                <c:pt idx="93">
                  <c:v>1991.44</c:v>
                </c:pt>
                <c:pt idx="94">
                  <c:v>1991.55</c:v>
                </c:pt>
                <c:pt idx="95">
                  <c:v>1991.73</c:v>
                </c:pt>
                <c:pt idx="96">
                  <c:v>1991.81</c:v>
                </c:pt>
                <c:pt idx="97">
                  <c:v>1991.83</c:v>
                </c:pt>
                <c:pt idx="98">
                  <c:v>1991.87</c:v>
                </c:pt>
                <c:pt idx="99">
                  <c:v>1991.87</c:v>
                </c:pt>
                <c:pt idx="100">
                  <c:v>1991.98</c:v>
                </c:pt>
                <c:pt idx="101">
                  <c:v>1992.1</c:v>
                </c:pt>
                <c:pt idx="102">
                  <c:v>1992.2</c:v>
                </c:pt>
                <c:pt idx="103">
                  <c:v>1992.24</c:v>
                </c:pt>
                <c:pt idx="104">
                  <c:v>1992.27</c:v>
                </c:pt>
                <c:pt idx="105">
                  <c:v>1992.29</c:v>
                </c:pt>
                <c:pt idx="106">
                  <c:v>1992.31</c:v>
                </c:pt>
                <c:pt idx="107">
                  <c:v>1992.35</c:v>
                </c:pt>
                <c:pt idx="108">
                  <c:v>1992.47</c:v>
                </c:pt>
                <c:pt idx="109">
                  <c:v>1992.67</c:v>
                </c:pt>
                <c:pt idx="110">
                  <c:v>1992.69</c:v>
                </c:pt>
                <c:pt idx="111">
                  <c:v>1992.94</c:v>
                </c:pt>
                <c:pt idx="112">
                  <c:v>1993.08</c:v>
                </c:pt>
                <c:pt idx="113">
                  <c:v>1993.41</c:v>
                </c:pt>
                <c:pt idx="114">
                  <c:v>1993.71</c:v>
                </c:pt>
                <c:pt idx="115">
                  <c:v>1993.74</c:v>
                </c:pt>
                <c:pt idx="116">
                  <c:v>1993.98</c:v>
                </c:pt>
                <c:pt idx="117">
                  <c:v>1993.98</c:v>
                </c:pt>
                <c:pt idx="118">
                  <c:v>1993.99</c:v>
                </c:pt>
                <c:pt idx="119">
                  <c:v>1994.01</c:v>
                </c:pt>
                <c:pt idx="120">
                  <c:v>1994.02</c:v>
                </c:pt>
                <c:pt idx="121">
                  <c:v>1994.03</c:v>
                </c:pt>
                <c:pt idx="122">
                  <c:v>1994.14</c:v>
                </c:pt>
                <c:pt idx="123">
                  <c:v>1994.15</c:v>
                </c:pt>
                <c:pt idx="124">
                  <c:v>1994.53</c:v>
                </c:pt>
                <c:pt idx="125">
                  <c:v>1994.56</c:v>
                </c:pt>
                <c:pt idx="126">
                  <c:v>1994.58</c:v>
                </c:pt>
                <c:pt idx="127">
                  <c:v>1994.6</c:v>
                </c:pt>
                <c:pt idx="128">
                  <c:v>1994.63</c:v>
                </c:pt>
                <c:pt idx="129">
                  <c:v>1994.67</c:v>
                </c:pt>
                <c:pt idx="130">
                  <c:v>1994.69</c:v>
                </c:pt>
                <c:pt idx="131">
                  <c:v>1994.71</c:v>
                </c:pt>
                <c:pt idx="132">
                  <c:v>1994.74</c:v>
                </c:pt>
                <c:pt idx="133">
                  <c:v>1994.83</c:v>
                </c:pt>
                <c:pt idx="134">
                  <c:v>1994.92</c:v>
                </c:pt>
                <c:pt idx="135">
                  <c:v>1995.01</c:v>
                </c:pt>
                <c:pt idx="136">
                  <c:v>1995.03</c:v>
                </c:pt>
                <c:pt idx="137">
                  <c:v>1995.06</c:v>
                </c:pt>
                <c:pt idx="138">
                  <c:v>1995.1</c:v>
                </c:pt>
                <c:pt idx="139">
                  <c:v>1995.13</c:v>
                </c:pt>
                <c:pt idx="140">
                  <c:v>1995.17</c:v>
                </c:pt>
                <c:pt idx="141">
                  <c:v>1995.18</c:v>
                </c:pt>
                <c:pt idx="142">
                  <c:v>1995.18</c:v>
                </c:pt>
                <c:pt idx="143">
                  <c:v>1995.19</c:v>
                </c:pt>
                <c:pt idx="144">
                  <c:v>1995.22</c:v>
                </c:pt>
                <c:pt idx="145">
                  <c:v>1995.26</c:v>
                </c:pt>
                <c:pt idx="146">
                  <c:v>1995.3</c:v>
                </c:pt>
                <c:pt idx="147">
                  <c:v>1995.32</c:v>
                </c:pt>
                <c:pt idx="148">
                  <c:v>1995.33</c:v>
                </c:pt>
                <c:pt idx="149">
                  <c:v>1995.35</c:v>
                </c:pt>
                <c:pt idx="150">
                  <c:v>1995.38</c:v>
                </c:pt>
                <c:pt idx="151">
                  <c:v>1995.42</c:v>
                </c:pt>
                <c:pt idx="152">
                  <c:v>1995.47</c:v>
                </c:pt>
                <c:pt idx="153">
                  <c:v>1995.55</c:v>
                </c:pt>
                <c:pt idx="154">
                  <c:v>1995.64</c:v>
                </c:pt>
                <c:pt idx="155">
                  <c:v>1995.67</c:v>
                </c:pt>
                <c:pt idx="156">
                  <c:v>1995.75</c:v>
                </c:pt>
                <c:pt idx="157">
                  <c:v>1995.88</c:v>
                </c:pt>
                <c:pt idx="158">
                  <c:v>1996.07</c:v>
                </c:pt>
                <c:pt idx="159">
                  <c:v>1996.58</c:v>
                </c:pt>
                <c:pt idx="160">
                  <c:v>1996.65</c:v>
                </c:pt>
                <c:pt idx="161">
                  <c:v>1996.75</c:v>
                </c:pt>
                <c:pt idx="162">
                  <c:v>1996.79</c:v>
                </c:pt>
                <c:pt idx="163">
                  <c:v>1996.99</c:v>
                </c:pt>
                <c:pt idx="164">
                  <c:v>1997.19</c:v>
                </c:pt>
                <c:pt idx="165">
                  <c:v>1997.4</c:v>
                </c:pt>
                <c:pt idx="166">
                  <c:v>1997.54</c:v>
                </c:pt>
                <c:pt idx="167">
                  <c:v>1997.75</c:v>
                </c:pt>
                <c:pt idx="168">
                  <c:v>1997.79</c:v>
                </c:pt>
                <c:pt idx="169">
                  <c:v>1997.81</c:v>
                </c:pt>
                <c:pt idx="170">
                  <c:v>1997.81</c:v>
                </c:pt>
                <c:pt idx="171">
                  <c:v>1997.84</c:v>
                </c:pt>
                <c:pt idx="172">
                  <c:v>1997.93</c:v>
                </c:pt>
                <c:pt idx="173">
                  <c:v>1998.1</c:v>
                </c:pt>
                <c:pt idx="174">
                  <c:v>1998.4</c:v>
                </c:pt>
                <c:pt idx="175">
                  <c:v>1998.52</c:v>
                </c:pt>
                <c:pt idx="176">
                  <c:v>1998.92</c:v>
                </c:pt>
                <c:pt idx="177">
                  <c:v>1998.93</c:v>
                </c:pt>
                <c:pt idx="178">
                  <c:v>1999.81</c:v>
                </c:pt>
                <c:pt idx="179">
                  <c:v>1999.9</c:v>
                </c:pt>
                <c:pt idx="180">
                  <c:v>1999.91</c:v>
                </c:pt>
                <c:pt idx="181">
                  <c:v>2000.08</c:v>
                </c:pt>
                <c:pt idx="182">
                  <c:v>2000.2</c:v>
                </c:pt>
                <c:pt idx="183">
                  <c:v>2000.22</c:v>
                </c:pt>
                <c:pt idx="184">
                  <c:v>2000.29</c:v>
                </c:pt>
                <c:pt idx="185">
                  <c:v>2000.37</c:v>
                </c:pt>
                <c:pt idx="186">
                  <c:v>2000.39</c:v>
                </c:pt>
                <c:pt idx="187">
                  <c:v>2000.4</c:v>
                </c:pt>
                <c:pt idx="188">
                  <c:v>2000.45</c:v>
                </c:pt>
                <c:pt idx="189">
                  <c:v>2000.45</c:v>
                </c:pt>
                <c:pt idx="190">
                  <c:v>2000.47</c:v>
                </c:pt>
                <c:pt idx="191">
                  <c:v>2000.49</c:v>
                </c:pt>
                <c:pt idx="192">
                  <c:v>2000.49</c:v>
                </c:pt>
                <c:pt idx="193">
                  <c:v>2000.63</c:v>
                </c:pt>
                <c:pt idx="194">
                  <c:v>2000.75</c:v>
                </c:pt>
                <c:pt idx="195">
                  <c:v>2000.85</c:v>
                </c:pt>
                <c:pt idx="196">
                  <c:v>2000.85</c:v>
                </c:pt>
                <c:pt idx="197">
                  <c:v>2000.87</c:v>
                </c:pt>
                <c:pt idx="198">
                  <c:v>2000.88</c:v>
                </c:pt>
                <c:pt idx="199">
                  <c:v>2000.89</c:v>
                </c:pt>
                <c:pt idx="200">
                  <c:v>2001.04</c:v>
                </c:pt>
                <c:pt idx="201">
                  <c:v>2001.16</c:v>
                </c:pt>
                <c:pt idx="202">
                  <c:v>2001.21</c:v>
                </c:pt>
                <c:pt idx="203">
                  <c:v>2001.25</c:v>
                </c:pt>
                <c:pt idx="204">
                  <c:v>2001.25</c:v>
                </c:pt>
                <c:pt idx="205">
                  <c:v>2001.3</c:v>
                </c:pt>
                <c:pt idx="206">
                  <c:v>2001.33</c:v>
                </c:pt>
                <c:pt idx="207">
                  <c:v>2001.34</c:v>
                </c:pt>
                <c:pt idx="208">
                  <c:v>2001.35</c:v>
                </c:pt>
                <c:pt idx="209">
                  <c:v>2001.36</c:v>
                </c:pt>
                <c:pt idx="210">
                  <c:v>2001.37</c:v>
                </c:pt>
                <c:pt idx="211">
                  <c:v>2001.39</c:v>
                </c:pt>
                <c:pt idx="212">
                  <c:v>2001.4</c:v>
                </c:pt>
                <c:pt idx="213">
                  <c:v>2001.41</c:v>
                </c:pt>
                <c:pt idx="214">
                  <c:v>2001.42</c:v>
                </c:pt>
                <c:pt idx="215">
                  <c:v>2001.42</c:v>
                </c:pt>
                <c:pt idx="216">
                  <c:v>2001.44</c:v>
                </c:pt>
                <c:pt idx="217">
                  <c:v>2001.45</c:v>
                </c:pt>
                <c:pt idx="218">
                  <c:v>2001.52</c:v>
                </c:pt>
                <c:pt idx="219">
                  <c:v>2001.57</c:v>
                </c:pt>
                <c:pt idx="220">
                  <c:v>2001.61</c:v>
                </c:pt>
                <c:pt idx="221">
                  <c:v>2001.67</c:v>
                </c:pt>
                <c:pt idx="222">
                  <c:v>2001.7</c:v>
                </c:pt>
                <c:pt idx="223">
                  <c:v>2001.7</c:v>
                </c:pt>
                <c:pt idx="224">
                  <c:v>2001.71</c:v>
                </c:pt>
                <c:pt idx="225">
                  <c:v>2001.78</c:v>
                </c:pt>
                <c:pt idx="226">
                  <c:v>2001.85</c:v>
                </c:pt>
                <c:pt idx="227">
                  <c:v>2001.86</c:v>
                </c:pt>
                <c:pt idx="228">
                  <c:v>2001.9</c:v>
                </c:pt>
                <c:pt idx="229">
                  <c:v>2001.94</c:v>
                </c:pt>
                <c:pt idx="230">
                  <c:v>2001.97</c:v>
                </c:pt>
                <c:pt idx="231">
                  <c:v>2001.99</c:v>
                </c:pt>
                <c:pt idx="232">
                  <c:v>2002</c:v>
                </c:pt>
                <c:pt idx="233">
                  <c:v>2002.03</c:v>
                </c:pt>
                <c:pt idx="234">
                  <c:v>2002.06</c:v>
                </c:pt>
                <c:pt idx="235">
                  <c:v>2002.09</c:v>
                </c:pt>
                <c:pt idx="236">
                  <c:v>2002.1</c:v>
                </c:pt>
                <c:pt idx="237">
                  <c:v>2002.11</c:v>
                </c:pt>
                <c:pt idx="238">
                  <c:v>2002.12</c:v>
                </c:pt>
                <c:pt idx="239">
                  <c:v>2002.15</c:v>
                </c:pt>
                <c:pt idx="240">
                  <c:v>2002.27</c:v>
                </c:pt>
                <c:pt idx="241">
                  <c:v>2002.27</c:v>
                </c:pt>
                <c:pt idx="242">
                  <c:v>2002.58</c:v>
                </c:pt>
                <c:pt idx="243">
                  <c:v>2002.93</c:v>
                </c:pt>
                <c:pt idx="244">
                  <c:v>2002.93</c:v>
                </c:pt>
                <c:pt idx="245">
                  <c:v>2002.94</c:v>
                </c:pt>
                <c:pt idx="246">
                  <c:v>2002.94</c:v>
                </c:pt>
                <c:pt idx="247">
                  <c:v>2002.98</c:v>
                </c:pt>
                <c:pt idx="248">
                  <c:v>2003.08</c:v>
                </c:pt>
                <c:pt idx="249">
                  <c:v>2003.14</c:v>
                </c:pt>
                <c:pt idx="250">
                  <c:v>2003.4</c:v>
                </c:pt>
                <c:pt idx="251">
                  <c:v>2003.49</c:v>
                </c:pt>
                <c:pt idx="252">
                  <c:v>2004.14</c:v>
                </c:pt>
                <c:pt idx="253">
                  <c:v>2004.19</c:v>
                </c:pt>
                <c:pt idx="254">
                  <c:v>2004.42</c:v>
                </c:pt>
                <c:pt idx="255">
                  <c:v>2004.45</c:v>
                </c:pt>
                <c:pt idx="256">
                  <c:v>2004.57</c:v>
                </c:pt>
                <c:pt idx="257">
                  <c:v>2004.64</c:v>
                </c:pt>
                <c:pt idx="258">
                  <c:v>2004.65</c:v>
                </c:pt>
                <c:pt idx="259">
                  <c:v>2004.65</c:v>
                </c:pt>
                <c:pt idx="260">
                  <c:v>2004.66</c:v>
                </c:pt>
                <c:pt idx="261">
                  <c:v>2004.66</c:v>
                </c:pt>
                <c:pt idx="262">
                  <c:v>2004.72</c:v>
                </c:pt>
                <c:pt idx="263">
                  <c:v>2004.83</c:v>
                </c:pt>
                <c:pt idx="264">
                  <c:v>2004.87</c:v>
                </c:pt>
                <c:pt idx="265">
                  <c:v>2004.88</c:v>
                </c:pt>
                <c:pt idx="266">
                  <c:v>2004.94</c:v>
                </c:pt>
                <c:pt idx="267">
                  <c:v>2004.96</c:v>
                </c:pt>
                <c:pt idx="268">
                  <c:v>2004.98</c:v>
                </c:pt>
                <c:pt idx="269">
                  <c:v>2005.02</c:v>
                </c:pt>
                <c:pt idx="270">
                  <c:v>2005.08</c:v>
                </c:pt>
                <c:pt idx="271">
                  <c:v>2005.13</c:v>
                </c:pt>
                <c:pt idx="272">
                  <c:v>2005.16</c:v>
                </c:pt>
                <c:pt idx="273">
                  <c:v>2005.22</c:v>
                </c:pt>
                <c:pt idx="274">
                  <c:v>2005.29</c:v>
                </c:pt>
                <c:pt idx="275">
                  <c:v>2005.33</c:v>
                </c:pt>
                <c:pt idx="276">
                  <c:v>2005.36</c:v>
                </c:pt>
                <c:pt idx="277">
                  <c:v>2005.4</c:v>
                </c:pt>
                <c:pt idx="278">
                  <c:v>2005.44</c:v>
                </c:pt>
                <c:pt idx="279">
                  <c:v>2005.48</c:v>
                </c:pt>
                <c:pt idx="280">
                  <c:v>2005.5</c:v>
                </c:pt>
                <c:pt idx="281">
                  <c:v>2005.52</c:v>
                </c:pt>
                <c:pt idx="282">
                  <c:v>2005.55</c:v>
                </c:pt>
                <c:pt idx="283">
                  <c:v>2005.57</c:v>
                </c:pt>
                <c:pt idx="284">
                  <c:v>2005.62</c:v>
                </c:pt>
                <c:pt idx="285">
                  <c:v>2005.69</c:v>
                </c:pt>
                <c:pt idx="286">
                  <c:v>2005.78</c:v>
                </c:pt>
                <c:pt idx="287">
                  <c:v>2005.86</c:v>
                </c:pt>
                <c:pt idx="288">
                  <c:v>2005.91</c:v>
                </c:pt>
                <c:pt idx="289">
                  <c:v>2005.98</c:v>
                </c:pt>
                <c:pt idx="290">
                  <c:v>2005.99</c:v>
                </c:pt>
                <c:pt idx="291">
                  <c:v>2006.1</c:v>
                </c:pt>
                <c:pt idx="292">
                  <c:v>2006.12</c:v>
                </c:pt>
                <c:pt idx="293">
                  <c:v>2006.22</c:v>
                </c:pt>
                <c:pt idx="294">
                  <c:v>2006.32</c:v>
                </c:pt>
                <c:pt idx="295">
                  <c:v>2006.4</c:v>
                </c:pt>
                <c:pt idx="296">
                  <c:v>2006.42</c:v>
                </c:pt>
                <c:pt idx="297">
                  <c:v>2006.43</c:v>
                </c:pt>
                <c:pt idx="298">
                  <c:v>2006.81</c:v>
                </c:pt>
                <c:pt idx="299">
                  <c:v>2007.09</c:v>
                </c:pt>
                <c:pt idx="300">
                  <c:v>2007.09</c:v>
                </c:pt>
                <c:pt idx="301">
                  <c:v>2007.1</c:v>
                </c:pt>
                <c:pt idx="302">
                  <c:v>2007.11</c:v>
                </c:pt>
                <c:pt idx="303">
                  <c:v>2007.12</c:v>
                </c:pt>
                <c:pt idx="304">
                  <c:v>2007.13</c:v>
                </c:pt>
                <c:pt idx="305">
                  <c:v>2007.14</c:v>
                </c:pt>
                <c:pt idx="306">
                  <c:v>2007.22</c:v>
                </c:pt>
                <c:pt idx="307">
                  <c:v>2007.6</c:v>
                </c:pt>
                <c:pt idx="308">
                  <c:v>2007.63</c:v>
                </c:pt>
                <c:pt idx="309">
                  <c:v>2007.65</c:v>
                </c:pt>
                <c:pt idx="310">
                  <c:v>2007.66</c:v>
                </c:pt>
                <c:pt idx="311">
                  <c:v>2007.69</c:v>
                </c:pt>
                <c:pt idx="312">
                  <c:v>2007.73</c:v>
                </c:pt>
                <c:pt idx="313">
                  <c:v>2007.79</c:v>
                </c:pt>
                <c:pt idx="314">
                  <c:v>2007.85</c:v>
                </c:pt>
                <c:pt idx="315">
                  <c:v>2007.89</c:v>
                </c:pt>
                <c:pt idx="316">
                  <c:v>2008.04</c:v>
                </c:pt>
                <c:pt idx="317">
                  <c:v>2008.04</c:v>
                </c:pt>
                <c:pt idx="318">
                  <c:v>2008.26</c:v>
                </c:pt>
                <c:pt idx="319">
                  <c:v>2008.42</c:v>
                </c:pt>
                <c:pt idx="320">
                  <c:v>2008.45</c:v>
                </c:pt>
                <c:pt idx="321">
                  <c:v>2008.83</c:v>
                </c:pt>
                <c:pt idx="322">
                  <c:v>2008.86</c:v>
                </c:pt>
                <c:pt idx="323">
                  <c:v>2009.03</c:v>
                </c:pt>
                <c:pt idx="324">
                  <c:v>2009.04</c:v>
                </c:pt>
                <c:pt idx="325">
                  <c:v>2009.05</c:v>
                </c:pt>
                <c:pt idx="326">
                  <c:v>2009.06</c:v>
                </c:pt>
                <c:pt idx="327">
                  <c:v>2009.07</c:v>
                </c:pt>
                <c:pt idx="328">
                  <c:v>2009.07</c:v>
                </c:pt>
                <c:pt idx="329">
                  <c:v>2009.08</c:v>
                </c:pt>
                <c:pt idx="330">
                  <c:v>2009.1</c:v>
                </c:pt>
                <c:pt idx="331">
                  <c:v>2009.11</c:v>
                </c:pt>
                <c:pt idx="332">
                  <c:v>2009.12</c:v>
                </c:pt>
                <c:pt idx="333">
                  <c:v>2009.12</c:v>
                </c:pt>
                <c:pt idx="334">
                  <c:v>2009.12</c:v>
                </c:pt>
                <c:pt idx="335">
                  <c:v>2009.27</c:v>
                </c:pt>
                <c:pt idx="336">
                  <c:v>2009.52</c:v>
                </c:pt>
                <c:pt idx="337">
                  <c:v>2009.53</c:v>
                </c:pt>
                <c:pt idx="338">
                  <c:v>2009.93</c:v>
                </c:pt>
                <c:pt idx="339">
                  <c:v>2010.19</c:v>
                </c:pt>
                <c:pt idx="340">
                  <c:v>2010.88</c:v>
                </c:pt>
                <c:pt idx="341">
                  <c:v>2010.9</c:v>
                </c:pt>
                <c:pt idx="342">
                  <c:v>2010.93</c:v>
                </c:pt>
                <c:pt idx="343">
                  <c:v>2010.93</c:v>
                </c:pt>
                <c:pt idx="344">
                  <c:v>2010.93</c:v>
                </c:pt>
                <c:pt idx="345">
                  <c:v>2010.94</c:v>
                </c:pt>
                <c:pt idx="346">
                  <c:v>2010.94</c:v>
                </c:pt>
                <c:pt idx="347">
                  <c:v>2010.96</c:v>
                </c:pt>
                <c:pt idx="348">
                  <c:v>2011.19</c:v>
                </c:pt>
                <c:pt idx="349">
                  <c:v>2011.36</c:v>
                </c:pt>
                <c:pt idx="350">
                  <c:v>2011.41</c:v>
                </c:pt>
                <c:pt idx="351">
                  <c:v>2011.41</c:v>
                </c:pt>
                <c:pt idx="352">
                  <c:v>2011.43</c:v>
                </c:pt>
                <c:pt idx="353">
                  <c:v>2011.46</c:v>
                </c:pt>
                <c:pt idx="354">
                  <c:v>2011.52</c:v>
                </c:pt>
                <c:pt idx="355">
                  <c:v>2011.55</c:v>
                </c:pt>
                <c:pt idx="356">
                  <c:v>2011.68</c:v>
                </c:pt>
                <c:pt idx="357">
                  <c:v>2011.71</c:v>
                </c:pt>
                <c:pt idx="358">
                  <c:v>2011.71</c:v>
                </c:pt>
                <c:pt idx="359">
                  <c:v>2011.75</c:v>
                </c:pt>
                <c:pt idx="360">
                  <c:v>2011.77</c:v>
                </c:pt>
                <c:pt idx="361">
                  <c:v>2011.78</c:v>
                </c:pt>
                <c:pt idx="362">
                  <c:v>2011.78</c:v>
                </c:pt>
                <c:pt idx="363">
                  <c:v>2011.79</c:v>
                </c:pt>
                <c:pt idx="364">
                  <c:v>2011.8</c:v>
                </c:pt>
                <c:pt idx="365">
                  <c:v>2011.9</c:v>
                </c:pt>
                <c:pt idx="366">
                  <c:v>2011.94</c:v>
                </c:pt>
                <c:pt idx="367">
                  <c:v>2012.05</c:v>
                </c:pt>
                <c:pt idx="368">
                  <c:v>2012.12</c:v>
                </c:pt>
                <c:pt idx="369">
                  <c:v>2012.46</c:v>
                </c:pt>
                <c:pt idx="370">
                  <c:v>2012.62</c:v>
                </c:pt>
                <c:pt idx="371">
                  <c:v>2012.9</c:v>
                </c:pt>
                <c:pt idx="372">
                  <c:v>2013.02</c:v>
                </c:pt>
                <c:pt idx="373">
                  <c:v>2013.31</c:v>
                </c:pt>
                <c:pt idx="374">
                  <c:v>2013.41</c:v>
                </c:pt>
                <c:pt idx="375">
                  <c:v>2013.43</c:v>
                </c:pt>
                <c:pt idx="376">
                  <c:v>2013.48</c:v>
                </c:pt>
                <c:pt idx="377">
                  <c:v>2013.56</c:v>
                </c:pt>
                <c:pt idx="378">
                  <c:v>2013.61</c:v>
                </c:pt>
                <c:pt idx="379">
                  <c:v>2013.63</c:v>
                </c:pt>
                <c:pt idx="380">
                  <c:v>2013.64</c:v>
                </c:pt>
                <c:pt idx="381">
                  <c:v>2013.69</c:v>
                </c:pt>
                <c:pt idx="382">
                  <c:v>2013.8</c:v>
                </c:pt>
                <c:pt idx="383">
                  <c:v>2013.96</c:v>
                </c:pt>
                <c:pt idx="384">
                  <c:v>2014.17</c:v>
                </c:pt>
                <c:pt idx="385">
                  <c:v>2014.56</c:v>
                </c:pt>
                <c:pt idx="386">
                  <c:v>2014.71</c:v>
                </c:pt>
                <c:pt idx="387">
                  <c:v>2014.78</c:v>
                </c:pt>
                <c:pt idx="388">
                  <c:v>2014.9</c:v>
                </c:pt>
                <c:pt idx="389">
                  <c:v>2015.07</c:v>
                </c:pt>
                <c:pt idx="390">
                  <c:v>2015.28</c:v>
                </c:pt>
                <c:pt idx="391">
                  <c:v>2015.42</c:v>
                </c:pt>
                <c:pt idx="392">
                  <c:v>2015.7</c:v>
                </c:pt>
                <c:pt idx="393">
                  <c:v>2015.75</c:v>
                </c:pt>
                <c:pt idx="394">
                  <c:v>2015.93</c:v>
                </c:pt>
                <c:pt idx="395">
                  <c:v>2016.13</c:v>
                </c:pt>
                <c:pt idx="396">
                  <c:v>2016.17</c:v>
                </c:pt>
                <c:pt idx="397">
                  <c:v>2016.19</c:v>
                </c:pt>
                <c:pt idx="398">
                  <c:v>2016.3</c:v>
                </c:pt>
                <c:pt idx="399">
                  <c:v>2016.38</c:v>
                </c:pt>
                <c:pt idx="400">
                  <c:v>2016.39</c:v>
                </c:pt>
                <c:pt idx="401">
                  <c:v>2016.41</c:v>
                </c:pt>
                <c:pt idx="402">
                  <c:v>2016.58</c:v>
                </c:pt>
                <c:pt idx="403">
                  <c:v>2016.58</c:v>
                </c:pt>
                <c:pt idx="404">
                  <c:v>2016.61</c:v>
                </c:pt>
                <c:pt idx="405">
                  <c:v>2016.68</c:v>
                </c:pt>
                <c:pt idx="406">
                  <c:v>2016.72</c:v>
                </c:pt>
                <c:pt idx="407">
                  <c:v>2016.74</c:v>
                </c:pt>
                <c:pt idx="408">
                  <c:v>2016.79</c:v>
                </c:pt>
                <c:pt idx="409">
                  <c:v>2017.08</c:v>
                </c:pt>
                <c:pt idx="410">
                  <c:v>2017.17</c:v>
                </c:pt>
                <c:pt idx="411">
                  <c:v>2017.2</c:v>
                </c:pt>
                <c:pt idx="412">
                  <c:v>2017.22</c:v>
                </c:pt>
                <c:pt idx="413">
                  <c:v>2017.23</c:v>
                </c:pt>
                <c:pt idx="414">
                  <c:v>2017.24</c:v>
                </c:pt>
                <c:pt idx="415">
                  <c:v>2017.26</c:v>
                </c:pt>
                <c:pt idx="416">
                  <c:v>2017.7</c:v>
                </c:pt>
                <c:pt idx="417">
                  <c:v>2017.98</c:v>
                </c:pt>
                <c:pt idx="418">
                  <c:v>2018.11</c:v>
                </c:pt>
                <c:pt idx="419">
                  <c:v>2018.23</c:v>
                </c:pt>
                <c:pt idx="420">
                  <c:v>2018.5</c:v>
                </c:pt>
                <c:pt idx="421">
                  <c:v>2018.74</c:v>
                </c:pt>
                <c:pt idx="422">
                  <c:v>2018.84</c:v>
                </c:pt>
                <c:pt idx="423">
                  <c:v>2018.9</c:v>
                </c:pt>
                <c:pt idx="424">
                  <c:v>2018.95</c:v>
                </c:pt>
                <c:pt idx="425">
                  <c:v>2018.98</c:v>
                </c:pt>
                <c:pt idx="426">
                  <c:v>2019.01</c:v>
                </c:pt>
                <c:pt idx="427">
                  <c:v>2019.05</c:v>
                </c:pt>
                <c:pt idx="428">
                  <c:v>2019.12</c:v>
                </c:pt>
                <c:pt idx="429">
                  <c:v>2019.19</c:v>
                </c:pt>
                <c:pt idx="430">
                  <c:v>2019.28</c:v>
                </c:pt>
                <c:pt idx="431">
                  <c:v>2019.31</c:v>
                </c:pt>
                <c:pt idx="432">
                  <c:v>2019.34</c:v>
                </c:pt>
                <c:pt idx="433">
                  <c:v>2019.63</c:v>
                </c:pt>
                <c:pt idx="434">
                  <c:v>2019.66</c:v>
                </c:pt>
                <c:pt idx="435">
                  <c:v>2019.67</c:v>
                </c:pt>
                <c:pt idx="436">
                  <c:v>2019.84</c:v>
                </c:pt>
                <c:pt idx="437">
                  <c:v>2019.87</c:v>
                </c:pt>
                <c:pt idx="438">
                  <c:v>2019.89</c:v>
                </c:pt>
                <c:pt idx="439">
                  <c:v>2019.9</c:v>
                </c:pt>
                <c:pt idx="440">
                  <c:v>2019.91</c:v>
                </c:pt>
              </c:numCache>
            </c:numRef>
          </c:xVal>
          <c:yVal>
            <c:numRef>
              <c:f>颜色分段折线图!$D$6:$D$446</c:f>
              <c:numCache>
                <c:formatCode>General</c:formatCode>
                <c:ptCount val="4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-5.8479500000000002E-3</c:v>
                </c:pt>
                <c:pt idx="54">
                  <c:v>-0.15</c:v>
                </c:pt>
                <c:pt idx="55">
                  <c:v>-0.17</c:v>
                </c:pt>
                <c:pt idx="56">
                  <c:v>-0.18859600000000001</c:v>
                </c:pt>
                <c:pt idx="57">
                  <c:v>-0.5</c:v>
                </c:pt>
                <c:pt idx="58">
                  <c:v>-0.2</c:v>
                </c:pt>
                <c:pt idx="59">
                  <c:v>-0.3</c:v>
                </c:pt>
                <c:pt idx="60">
                  <c:v>-1.8031200000000001E-2</c:v>
                </c:pt>
                <c:pt idx="61">
                  <c:v>-2.41228E-2</c:v>
                </c:pt>
                <c:pt idx="62">
                  <c:v>-0.111842</c:v>
                </c:pt>
                <c:pt idx="63">
                  <c:v>-0.46393800000000002</c:v>
                </c:pt>
                <c:pt idx="64">
                  <c:v>-0.49805100000000002</c:v>
                </c:pt>
                <c:pt idx="65">
                  <c:v>-0.376218</c:v>
                </c:pt>
                <c:pt idx="66">
                  <c:v>-0.58577000000000001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-4.62963E-3</c:v>
                </c:pt>
                <c:pt idx="184">
                  <c:v>-5.8479500000000002E-3</c:v>
                </c:pt>
                <c:pt idx="185">
                  <c:v>-0.15</c:v>
                </c:pt>
                <c:pt idx="186">
                  <c:v>-0.17</c:v>
                </c:pt>
                <c:pt idx="187">
                  <c:v>-0.18859600000000001</c:v>
                </c:pt>
                <c:pt idx="188">
                  <c:v>-0.5</c:v>
                </c:pt>
                <c:pt idx="189">
                  <c:v>-0.2</c:v>
                </c:pt>
                <c:pt idx="190">
                  <c:v>-0.3</c:v>
                </c:pt>
                <c:pt idx="191">
                  <c:v>-1.8031200000000001E-2</c:v>
                </c:pt>
                <c:pt idx="192">
                  <c:v>-2.41228E-2</c:v>
                </c:pt>
                <c:pt idx="193">
                  <c:v>-0.111842</c:v>
                </c:pt>
                <c:pt idx="194">
                  <c:v>-0.46393800000000002</c:v>
                </c:pt>
                <c:pt idx="195">
                  <c:v>-0.49805100000000002</c:v>
                </c:pt>
                <c:pt idx="196">
                  <c:v>-0.49805100000000002</c:v>
                </c:pt>
                <c:pt idx="197">
                  <c:v>-0.376218</c:v>
                </c:pt>
                <c:pt idx="198">
                  <c:v>-0.58577000000000001</c:v>
                </c:pt>
                <c:pt idx="199">
                  <c:v>-0.55165699999999995</c:v>
                </c:pt>
                <c:pt idx="200">
                  <c:v>-1.07212E-2</c:v>
                </c:pt>
                <c:pt idx="201">
                  <c:v>-9.5029199999999998E-3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-5.8479500000000002E-3</c:v>
                </c:pt>
                <c:pt idx="299">
                  <c:v>-0.51998100000000003</c:v>
                </c:pt>
                <c:pt idx="300">
                  <c:v>-0.312865</c:v>
                </c:pt>
                <c:pt idx="301">
                  <c:v>-0.43226100000000001</c:v>
                </c:pt>
                <c:pt idx="302">
                  <c:v>-0.45540900000000001</c:v>
                </c:pt>
                <c:pt idx="303">
                  <c:v>-0.40058500000000002</c:v>
                </c:pt>
                <c:pt idx="304">
                  <c:v>-0.36769000000000002</c:v>
                </c:pt>
                <c:pt idx="305">
                  <c:v>-0.34454200000000001</c:v>
                </c:pt>
                <c:pt idx="306">
                  <c:v>-2.1929800000000002E-3</c:v>
                </c:pt>
                <c:pt idx="307">
                  <c:v>-5.6286500000000003E-2</c:v>
                </c:pt>
                <c:pt idx="308">
                  <c:v>-2.1929800000000002E-3</c:v>
                </c:pt>
                <c:pt idx="309">
                  <c:v>-0.111842</c:v>
                </c:pt>
                <c:pt idx="310">
                  <c:v>-0.46393800000000002</c:v>
                </c:pt>
                <c:pt idx="311">
                  <c:v>-0.49805100000000002</c:v>
                </c:pt>
                <c:pt idx="312">
                  <c:v>-0.49805100000000002</c:v>
                </c:pt>
                <c:pt idx="313">
                  <c:v>-0.376218</c:v>
                </c:pt>
                <c:pt idx="314">
                  <c:v>-0.58577000000000001</c:v>
                </c:pt>
                <c:pt idx="315">
                  <c:v>-0.55165699999999995</c:v>
                </c:pt>
                <c:pt idx="316">
                  <c:v>-1.07212E-2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-0.45540900000000001</c:v>
                </c:pt>
                <c:pt idx="431">
                  <c:v>-0.40058500000000002</c:v>
                </c:pt>
                <c:pt idx="432">
                  <c:v>-0.36769000000000002</c:v>
                </c:pt>
                <c:pt idx="433">
                  <c:v>-0.34454200000000001</c:v>
                </c:pt>
                <c:pt idx="434">
                  <c:v>-0.144737</c:v>
                </c:pt>
                <c:pt idx="435">
                  <c:v>-0.232456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27-45D1-8A04-414A72B5B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503951"/>
        <c:axId val="1760501071"/>
      </c:scatterChart>
      <c:scatterChart>
        <c:scatterStyle val="lineMarker"/>
        <c:varyColors val="0"/>
        <c:ser>
          <c:idx val="2"/>
          <c:order val="2"/>
          <c:tx>
            <c:v>对比线红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plus"/>
            <c:errValType val="fixedVal"/>
            <c:noEndCap val="1"/>
            <c:val val="50"/>
            <c:spPr>
              <a:noFill/>
              <a:ln w="28575" cap="flat" cmpd="sng" algn="ctr">
                <a:solidFill>
                  <a:srgbClr val="B71C1C"/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1986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C27-45D1-8A04-414A72B5BB8C}"/>
            </c:ext>
          </c:extLst>
        </c:ser>
        <c:ser>
          <c:idx val="3"/>
          <c:order val="3"/>
          <c:tx>
            <c:v>对比线黑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1"/>
            <c:val val="50"/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1980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C27-45D1-8A04-414A72B5B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503951"/>
        <c:axId val="1760501071"/>
      </c:scatterChart>
      <c:valAx>
        <c:axId val="1760503951"/>
        <c:scaling>
          <c:orientation val="minMax"/>
          <c:max val="2019.91"/>
          <c:min val="1986"/>
        </c:scaling>
        <c:delete val="0"/>
        <c:axPos val="b"/>
        <c:numFmt formatCode="General" sourceLinked="1"/>
        <c:majorTickMark val="out"/>
        <c:minorTickMark val="out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5F5F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0501071"/>
        <c:crossesAt val="-1"/>
        <c:crossBetween val="midCat"/>
      </c:valAx>
      <c:valAx>
        <c:axId val="1760501071"/>
        <c:scaling>
          <c:orientation val="minMax"/>
          <c:max val="4.5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5F5F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0503951"/>
        <c:crosses val="autoZero"/>
        <c:crossBetween val="midCat"/>
        <c:majorUnit val="1"/>
      </c:valAx>
      <c:valAx>
        <c:axId val="1299959968"/>
        <c:scaling>
          <c:orientation val="minMax"/>
          <c:max val="4.5"/>
          <c:min val="-1"/>
        </c:scaling>
        <c:delete val="0"/>
        <c:axPos val="r"/>
        <c:numFmt formatCode="0.00_ 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5F5F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9961888"/>
        <c:crosses val="max"/>
        <c:crossBetween val="between"/>
      </c:valAx>
      <c:catAx>
        <c:axId val="1299961888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129995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5F5F2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267855"/>
        <c:axId val="1667278895"/>
      </c:barChart>
      <c:catAx>
        <c:axId val="166726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7278895"/>
        <c:crosses val="autoZero"/>
        <c:auto val="1"/>
        <c:lblAlgn val="ctr"/>
        <c:lblOffset val="100"/>
        <c:noMultiLvlLbl val="0"/>
      </c:catAx>
      <c:valAx>
        <c:axId val="16672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726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区间拓展折线图!$B$2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rgbClr val="8E24AA"/>
              </a:solidFill>
              <a:round/>
            </a:ln>
            <a:effectLst/>
          </c:spPr>
          <c:marker>
            <c:symbol val="none"/>
          </c:marker>
          <c:cat>
            <c:numRef>
              <c:f>区间拓展折线图!$A$3:$A$21</c:f>
              <c:numCache>
                <c:formatCode>General</c:formatCode>
                <c:ptCount val="1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  <c:pt idx="9">
                  <c:v>2055</c:v>
                </c:pt>
                <c:pt idx="10">
                  <c:v>2060</c:v>
                </c:pt>
                <c:pt idx="11">
                  <c:v>2065</c:v>
                </c:pt>
                <c:pt idx="12">
                  <c:v>2070</c:v>
                </c:pt>
                <c:pt idx="13">
                  <c:v>2075</c:v>
                </c:pt>
                <c:pt idx="14">
                  <c:v>2080</c:v>
                </c:pt>
                <c:pt idx="15">
                  <c:v>2085</c:v>
                </c:pt>
                <c:pt idx="16">
                  <c:v>2090</c:v>
                </c:pt>
                <c:pt idx="17">
                  <c:v>2095</c:v>
                </c:pt>
                <c:pt idx="18">
                  <c:v>2100</c:v>
                </c:pt>
              </c:numCache>
            </c:numRef>
          </c:cat>
          <c:val>
            <c:numRef>
              <c:f>区间拓展折线图!$B$3:$B$21</c:f>
              <c:numCache>
                <c:formatCode>General</c:formatCode>
                <c:ptCount val="19"/>
                <c:pt idx="0">
                  <c:v>7</c:v>
                </c:pt>
                <c:pt idx="1">
                  <c:v>7.38</c:v>
                </c:pt>
                <c:pt idx="2">
                  <c:v>7.76</c:v>
                </c:pt>
                <c:pt idx="3">
                  <c:v>8.14</c:v>
                </c:pt>
                <c:pt idx="4">
                  <c:v>8.52</c:v>
                </c:pt>
                <c:pt idx="5">
                  <c:v>8.9</c:v>
                </c:pt>
                <c:pt idx="6">
                  <c:v>9.2799999999999994</c:v>
                </c:pt>
                <c:pt idx="7">
                  <c:v>9.66</c:v>
                </c:pt>
                <c:pt idx="8">
                  <c:v>10</c:v>
                </c:pt>
                <c:pt idx="9">
                  <c:v>10.27</c:v>
                </c:pt>
                <c:pt idx="10">
                  <c:v>10.54</c:v>
                </c:pt>
                <c:pt idx="11">
                  <c:v>10.81</c:v>
                </c:pt>
                <c:pt idx="12">
                  <c:v>11.08</c:v>
                </c:pt>
                <c:pt idx="13">
                  <c:v>11.35</c:v>
                </c:pt>
                <c:pt idx="14">
                  <c:v>11.62</c:v>
                </c:pt>
                <c:pt idx="15">
                  <c:v>11.89</c:v>
                </c:pt>
                <c:pt idx="16">
                  <c:v>12.16</c:v>
                </c:pt>
                <c:pt idx="17">
                  <c:v>12.43</c:v>
                </c:pt>
                <c:pt idx="18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B-447E-B756-CC06A48D6A30}"/>
            </c:ext>
          </c:extLst>
        </c:ser>
        <c:ser>
          <c:idx val="1"/>
          <c:order val="1"/>
          <c:tx>
            <c:strRef>
              <c:f>区间拓展折线图!$C$2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rgbClr val="B71C1C"/>
              </a:solidFill>
              <a:round/>
            </a:ln>
            <a:effectLst/>
          </c:spPr>
          <c:marker>
            <c:symbol val="none"/>
          </c:marker>
          <c:cat>
            <c:numRef>
              <c:f>区间拓展折线图!$A$3:$A$21</c:f>
              <c:numCache>
                <c:formatCode>General</c:formatCode>
                <c:ptCount val="1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  <c:pt idx="9">
                  <c:v>2055</c:v>
                </c:pt>
                <c:pt idx="10">
                  <c:v>2060</c:v>
                </c:pt>
                <c:pt idx="11">
                  <c:v>2065</c:v>
                </c:pt>
                <c:pt idx="12">
                  <c:v>2070</c:v>
                </c:pt>
                <c:pt idx="13">
                  <c:v>2075</c:v>
                </c:pt>
                <c:pt idx="14">
                  <c:v>2080</c:v>
                </c:pt>
                <c:pt idx="15">
                  <c:v>2085</c:v>
                </c:pt>
                <c:pt idx="16">
                  <c:v>2090</c:v>
                </c:pt>
                <c:pt idx="17">
                  <c:v>2095</c:v>
                </c:pt>
                <c:pt idx="18">
                  <c:v>2100</c:v>
                </c:pt>
              </c:numCache>
            </c:numRef>
          </c:cat>
          <c:val>
            <c:numRef>
              <c:f>区间拓展折线图!$C$3:$C$21</c:f>
              <c:numCache>
                <c:formatCode>General</c:formatCode>
                <c:ptCount val="19"/>
                <c:pt idx="0">
                  <c:v>7</c:v>
                </c:pt>
                <c:pt idx="1">
                  <c:v>7.26</c:v>
                </c:pt>
                <c:pt idx="2">
                  <c:v>7.52</c:v>
                </c:pt>
                <c:pt idx="3">
                  <c:v>7.78</c:v>
                </c:pt>
                <c:pt idx="4">
                  <c:v>8.0399999999999991</c:v>
                </c:pt>
                <c:pt idx="5">
                  <c:v>8.3000000000000007</c:v>
                </c:pt>
                <c:pt idx="6">
                  <c:v>8.56</c:v>
                </c:pt>
                <c:pt idx="7">
                  <c:v>8.82</c:v>
                </c:pt>
                <c:pt idx="8">
                  <c:v>9</c:v>
                </c:pt>
                <c:pt idx="9">
                  <c:v>9.14</c:v>
                </c:pt>
                <c:pt idx="10">
                  <c:v>9.25</c:v>
                </c:pt>
                <c:pt idx="11">
                  <c:v>9.33</c:v>
                </c:pt>
                <c:pt idx="12">
                  <c:v>9.3800000000000008</c:v>
                </c:pt>
                <c:pt idx="13">
                  <c:v>9.4</c:v>
                </c:pt>
                <c:pt idx="14">
                  <c:v>9.3800000000000008</c:v>
                </c:pt>
                <c:pt idx="15">
                  <c:v>9.33</c:v>
                </c:pt>
                <c:pt idx="16">
                  <c:v>9.25</c:v>
                </c:pt>
                <c:pt idx="17">
                  <c:v>9.14</c:v>
                </c:pt>
                <c:pt idx="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2B-447E-B756-CC06A48D6A30}"/>
            </c:ext>
          </c:extLst>
        </c:ser>
        <c:ser>
          <c:idx val="2"/>
          <c:order val="2"/>
          <c:tx>
            <c:strRef>
              <c:f>区间拓展折线图!$D$2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rgbClr val="607D8B"/>
              </a:solidFill>
              <a:round/>
            </a:ln>
            <a:effectLst/>
          </c:spPr>
          <c:marker>
            <c:symbol val="none"/>
          </c:marker>
          <c:cat>
            <c:numRef>
              <c:f>区间拓展折线图!$A$3:$A$21</c:f>
              <c:numCache>
                <c:formatCode>General</c:formatCode>
                <c:ptCount val="1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  <c:pt idx="9">
                  <c:v>2055</c:v>
                </c:pt>
                <c:pt idx="10">
                  <c:v>2060</c:v>
                </c:pt>
                <c:pt idx="11">
                  <c:v>2065</c:v>
                </c:pt>
                <c:pt idx="12">
                  <c:v>2070</c:v>
                </c:pt>
                <c:pt idx="13">
                  <c:v>2075</c:v>
                </c:pt>
                <c:pt idx="14">
                  <c:v>2080</c:v>
                </c:pt>
                <c:pt idx="15">
                  <c:v>2085</c:v>
                </c:pt>
                <c:pt idx="16">
                  <c:v>2090</c:v>
                </c:pt>
                <c:pt idx="17">
                  <c:v>2095</c:v>
                </c:pt>
                <c:pt idx="18">
                  <c:v>2100</c:v>
                </c:pt>
              </c:numCache>
            </c:numRef>
          </c:cat>
          <c:val>
            <c:numRef>
              <c:f>区间拓展折线图!$D$3:$D$21</c:f>
              <c:numCache>
                <c:formatCode>General</c:formatCode>
                <c:ptCount val="19"/>
                <c:pt idx="0">
                  <c:v>7</c:v>
                </c:pt>
                <c:pt idx="1">
                  <c:v>7.28</c:v>
                </c:pt>
                <c:pt idx="2">
                  <c:v>7.53</c:v>
                </c:pt>
                <c:pt idx="3">
                  <c:v>7.75</c:v>
                </c:pt>
                <c:pt idx="4">
                  <c:v>7.94</c:v>
                </c:pt>
                <c:pt idx="5">
                  <c:v>8.1</c:v>
                </c:pt>
                <c:pt idx="6">
                  <c:v>8.23</c:v>
                </c:pt>
                <c:pt idx="7">
                  <c:v>8.33</c:v>
                </c:pt>
                <c:pt idx="8">
                  <c:v>8.4</c:v>
                </c:pt>
                <c:pt idx="9">
                  <c:v>8.42</c:v>
                </c:pt>
                <c:pt idx="10">
                  <c:v>8.4</c:v>
                </c:pt>
                <c:pt idx="11">
                  <c:v>8.33</c:v>
                </c:pt>
                <c:pt idx="12">
                  <c:v>8.23</c:v>
                </c:pt>
                <c:pt idx="13">
                  <c:v>8.1</c:v>
                </c:pt>
                <c:pt idx="14">
                  <c:v>7.94</c:v>
                </c:pt>
                <c:pt idx="15">
                  <c:v>7.75</c:v>
                </c:pt>
                <c:pt idx="16">
                  <c:v>7.53</c:v>
                </c:pt>
                <c:pt idx="17">
                  <c:v>7.28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2B-447E-B756-CC06A48D6A3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区间拓展折线图!$G$22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2B-447E-B756-CC06A48D6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67920"/>
        <c:axId val="22276560"/>
      </c:lineChart>
      <c:catAx>
        <c:axId val="2226792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276560"/>
        <c:crosses val="autoZero"/>
        <c:auto val="1"/>
        <c:lblAlgn val="ctr"/>
        <c:lblOffset val="100"/>
        <c:tickLblSkip val="5"/>
        <c:noMultiLvlLbl val="0"/>
      </c:catAx>
      <c:valAx>
        <c:axId val="22276560"/>
        <c:scaling>
          <c:orientation val="minMax"/>
          <c:min val="4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2679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95736423059968E-2"/>
          <c:y val="4.5114891999566614E-2"/>
          <c:w val="0.86219654360402376"/>
          <c:h val="0.86792718915202915"/>
        </c:manualLayout>
      </c:layout>
      <c:areaChart>
        <c:grouping val="stacked"/>
        <c:varyColors val="0"/>
        <c:ser>
          <c:idx val="1"/>
          <c:order val="1"/>
          <c:tx>
            <c:strRef>
              <c:f>区间拓展折线图!$H$2</c:f>
              <c:strCache>
                <c:ptCount val="1"/>
                <c:pt idx="0">
                  <c:v>Lowerbound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区间拓展折线图!$E$3:$E$21</c:f>
              <c:numCache>
                <c:formatCode>General</c:formatCode>
                <c:ptCount val="1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  <c:pt idx="9">
                  <c:v>2055</c:v>
                </c:pt>
                <c:pt idx="10">
                  <c:v>2060</c:v>
                </c:pt>
                <c:pt idx="11">
                  <c:v>2065</c:v>
                </c:pt>
                <c:pt idx="12">
                  <c:v>2070</c:v>
                </c:pt>
                <c:pt idx="13">
                  <c:v>2075</c:v>
                </c:pt>
                <c:pt idx="14">
                  <c:v>2080</c:v>
                </c:pt>
                <c:pt idx="15">
                  <c:v>2085</c:v>
                </c:pt>
                <c:pt idx="16">
                  <c:v>2090</c:v>
                </c:pt>
                <c:pt idx="17">
                  <c:v>2095</c:v>
                </c:pt>
                <c:pt idx="18">
                  <c:v>2100</c:v>
                </c:pt>
              </c:numCache>
            </c:numRef>
          </c:cat>
          <c:val>
            <c:numRef>
              <c:f>区间拓展折线图!$H$3:$H$21</c:f>
              <c:numCache>
                <c:formatCode>General</c:formatCode>
                <c:ptCount val="19"/>
                <c:pt idx="0">
                  <c:v>7</c:v>
                </c:pt>
                <c:pt idx="1">
                  <c:v>7.33</c:v>
                </c:pt>
                <c:pt idx="2">
                  <c:v>7.66</c:v>
                </c:pt>
                <c:pt idx="3">
                  <c:v>7.99</c:v>
                </c:pt>
                <c:pt idx="4">
                  <c:v>8.32</c:v>
                </c:pt>
                <c:pt idx="5">
                  <c:v>8.65</c:v>
                </c:pt>
                <c:pt idx="6">
                  <c:v>9</c:v>
                </c:pt>
                <c:pt idx="7">
                  <c:v>9.19</c:v>
                </c:pt>
                <c:pt idx="8">
                  <c:v>9.36</c:v>
                </c:pt>
                <c:pt idx="9">
                  <c:v>9.51</c:v>
                </c:pt>
                <c:pt idx="10">
                  <c:v>9.64</c:v>
                </c:pt>
                <c:pt idx="11">
                  <c:v>9.75</c:v>
                </c:pt>
                <c:pt idx="12">
                  <c:v>9.84</c:v>
                </c:pt>
                <c:pt idx="13">
                  <c:v>9.9</c:v>
                </c:pt>
                <c:pt idx="14">
                  <c:v>9.8800000000000008</c:v>
                </c:pt>
                <c:pt idx="15">
                  <c:v>9.84</c:v>
                </c:pt>
                <c:pt idx="16">
                  <c:v>9.7799999999999994</c:v>
                </c:pt>
                <c:pt idx="17">
                  <c:v>9.6999999999999993</c:v>
                </c:pt>
                <c:pt idx="18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0-4B33-97BE-A8B3EE0BC8CD}"/>
            </c:ext>
          </c:extLst>
        </c:ser>
        <c:ser>
          <c:idx val="2"/>
          <c:order val="2"/>
          <c:tx>
            <c:strRef>
              <c:f>区间拓展折线图!$I$2</c:f>
              <c:strCache>
                <c:ptCount val="1"/>
                <c:pt idx="0">
                  <c:v>Aux1</c:v>
                </c:pt>
              </c:strCache>
            </c:strRef>
          </c:tx>
          <c:spPr>
            <a:solidFill>
              <a:srgbClr val="BDC3C7"/>
            </a:solidFill>
            <a:ln>
              <a:noFill/>
            </a:ln>
            <a:effectLst/>
          </c:spPr>
          <c:cat>
            <c:numRef>
              <c:f>区间拓展折线图!$E$3:$E$21</c:f>
              <c:numCache>
                <c:formatCode>General</c:formatCode>
                <c:ptCount val="1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  <c:pt idx="9">
                  <c:v>2055</c:v>
                </c:pt>
                <c:pt idx="10">
                  <c:v>2060</c:v>
                </c:pt>
                <c:pt idx="11">
                  <c:v>2065</c:v>
                </c:pt>
                <c:pt idx="12">
                  <c:v>2070</c:v>
                </c:pt>
                <c:pt idx="13">
                  <c:v>2075</c:v>
                </c:pt>
                <c:pt idx="14">
                  <c:v>2080</c:v>
                </c:pt>
                <c:pt idx="15">
                  <c:v>2085</c:v>
                </c:pt>
                <c:pt idx="16">
                  <c:v>2090</c:v>
                </c:pt>
                <c:pt idx="17">
                  <c:v>2095</c:v>
                </c:pt>
                <c:pt idx="18">
                  <c:v>2100</c:v>
                </c:pt>
              </c:numCache>
            </c:numRef>
          </c:cat>
          <c:val>
            <c:numRef>
              <c:f>区间拓展折线图!$I$3:$I$21</c:f>
              <c:numCache>
                <c:formatCode>General</c:formatCode>
                <c:ptCount val="19"/>
                <c:pt idx="0">
                  <c:v>0</c:v>
                </c:pt>
                <c:pt idx="1">
                  <c:v>4.9999999999999822E-2</c:v>
                </c:pt>
                <c:pt idx="2">
                  <c:v>9.9999999999999645E-2</c:v>
                </c:pt>
                <c:pt idx="3">
                  <c:v>0.15000000000000036</c:v>
                </c:pt>
                <c:pt idx="4">
                  <c:v>0.19999999999999929</c:v>
                </c:pt>
                <c:pt idx="5">
                  <c:v>0.25</c:v>
                </c:pt>
                <c:pt idx="6">
                  <c:v>0.27999999999999936</c:v>
                </c:pt>
                <c:pt idx="7">
                  <c:v>0.47000000000000064</c:v>
                </c:pt>
                <c:pt idx="8">
                  <c:v>0.64000000000000057</c:v>
                </c:pt>
                <c:pt idx="9">
                  <c:v>0.79000000000000092</c:v>
                </c:pt>
                <c:pt idx="10">
                  <c:v>0.95999999999999908</c:v>
                </c:pt>
                <c:pt idx="11">
                  <c:v>1.1500000000000004</c:v>
                </c:pt>
                <c:pt idx="12">
                  <c:v>1.3599999999999994</c:v>
                </c:pt>
                <c:pt idx="13">
                  <c:v>1.5999999999999996</c:v>
                </c:pt>
                <c:pt idx="14">
                  <c:v>1.92</c:v>
                </c:pt>
                <c:pt idx="15">
                  <c:v>2.2599999999999998</c:v>
                </c:pt>
                <c:pt idx="16">
                  <c:v>2.620000000000001</c:v>
                </c:pt>
                <c:pt idx="17">
                  <c:v>3</c:v>
                </c:pt>
                <c:pt idx="18">
                  <c:v>3.4000000000000004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0-4B33-97BE-A8B3EE0B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31376"/>
        <c:axId val="823732336"/>
      </c:areaChart>
      <c:lineChart>
        <c:grouping val="standard"/>
        <c:varyColors val="0"/>
        <c:ser>
          <c:idx val="0"/>
          <c:order val="0"/>
          <c:tx>
            <c:strRef>
              <c:f>区间拓展折线图!$G$2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rgbClr val="2C3E50"/>
              </a:solidFill>
              <a:round/>
            </a:ln>
            <a:effectLst/>
          </c:spPr>
          <c:marker>
            <c:symbol val="none"/>
          </c:marker>
          <c:val>
            <c:numRef>
              <c:f>区间拓展折线图!$G$3:$G$21</c:f>
              <c:numCache>
                <c:formatCode>General</c:formatCode>
                <c:ptCount val="19"/>
                <c:pt idx="0">
                  <c:v>7</c:v>
                </c:pt>
                <c:pt idx="1">
                  <c:v>7.33</c:v>
                </c:pt>
                <c:pt idx="2">
                  <c:v>7.66</c:v>
                </c:pt>
                <c:pt idx="3">
                  <c:v>7.99</c:v>
                </c:pt>
                <c:pt idx="4">
                  <c:v>8.32</c:v>
                </c:pt>
                <c:pt idx="5">
                  <c:v>8.65</c:v>
                </c:pt>
                <c:pt idx="6">
                  <c:v>9</c:v>
                </c:pt>
                <c:pt idx="7">
                  <c:v>9.2899999999999991</c:v>
                </c:pt>
                <c:pt idx="8">
                  <c:v>9.56</c:v>
                </c:pt>
                <c:pt idx="9">
                  <c:v>9.81</c:v>
                </c:pt>
                <c:pt idx="10">
                  <c:v>10.039999999999999</c:v>
                </c:pt>
                <c:pt idx="11">
                  <c:v>10.25</c:v>
                </c:pt>
                <c:pt idx="12">
                  <c:v>10.44</c:v>
                </c:pt>
                <c:pt idx="13">
                  <c:v>10.61</c:v>
                </c:pt>
                <c:pt idx="14">
                  <c:v>10.76</c:v>
                </c:pt>
                <c:pt idx="15">
                  <c:v>10.89</c:v>
                </c:pt>
                <c:pt idx="16">
                  <c:v>11</c:v>
                </c:pt>
                <c:pt idx="17">
                  <c:v>11.09</c:v>
                </c:pt>
                <c:pt idx="18">
                  <c:v>11.16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0-4B33-97BE-A8B3EE0BC8C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区间拓展折线图!$H$22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0-4B33-97BE-A8B3EE0B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731376"/>
        <c:axId val="823732336"/>
      </c:lineChart>
      <c:catAx>
        <c:axId val="82373137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732336"/>
        <c:crosses val="autoZero"/>
        <c:auto val="1"/>
        <c:lblAlgn val="ctr"/>
        <c:lblOffset val="100"/>
        <c:tickLblSkip val="5"/>
        <c:noMultiLvlLbl val="0"/>
      </c:catAx>
      <c:valAx>
        <c:axId val="823732336"/>
        <c:scaling>
          <c:orientation val="minMax"/>
          <c:min val="4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7313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36462168605165E-2"/>
          <c:y val="3.2564450474898234E-2"/>
          <c:w val="0.94232707566278973"/>
          <c:h val="0.94029850746268662"/>
        </c:manualLayout>
      </c:layout>
      <c:areaChart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val>
            <c:numRef>
              <c:f>对比折线图!$E$4:$E$128</c:f>
              <c:numCache>
                <c:formatCode>General</c:formatCode>
                <c:ptCount val="125"/>
                <c:pt idx="0">
                  <c:v>2.0739100000000001</c:v>
                </c:pt>
                <c:pt idx="1">
                  <c:v>2.0839599999999998</c:v>
                </c:pt>
                <c:pt idx="2">
                  <c:v>2.24485</c:v>
                </c:pt>
                <c:pt idx="3">
                  <c:v>2.3252899999999999</c:v>
                </c:pt>
                <c:pt idx="4">
                  <c:v>1.24434</c:v>
                </c:pt>
                <c:pt idx="5">
                  <c:v>0.97787800000000002</c:v>
                </c:pt>
                <c:pt idx="6">
                  <c:v>0.74660599999999999</c:v>
                </c:pt>
                <c:pt idx="7">
                  <c:v>0.53041700000000003</c:v>
                </c:pt>
                <c:pt idx="8">
                  <c:v>1.49573</c:v>
                </c:pt>
                <c:pt idx="9">
                  <c:v>1.7571600000000001</c:v>
                </c:pt>
                <c:pt idx="10">
                  <c:v>2.0236299999999998</c:v>
                </c:pt>
                <c:pt idx="11">
                  <c:v>2.30518</c:v>
                </c:pt>
                <c:pt idx="12">
                  <c:v>1.5610900000000001</c:v>
                </c:pt>
                <c:pt idx="13">
                  <c:v>1.73203</c:v>
                </c:pt>
                <c:pt idx="14">
                  <c:v>1.75214</c:v>
                </c:pt>
                <c:pt idx="15">
                  <c:v>1.8526899999999999</c:v>
                </c:pt>
                <c:pt idx="16">
                  <c:v>2.09402</c:v>
                </c:pt>
                <c:pt idx="17">
                  <c:v>2.3001499999999999</c:v>
                </c:pt>
                <c:pt idx="18">
                  <c:v>2.30518</c:v>
                </c:pt>
                <c:pt idx="19">
                  <c:v>2.1945700000000001</c:v>
                </c:pt>
                <c:pt idx="20">
                  <c:v>2.1744599999999998</c:v>
                </c:pt>
                <c:pt idx="21">
                  <c:v>1.23932</c:v>
                </c:pt>
                <c:pt idx="22">
                  <c:v>0.92257400000000001</c:v>
                </c:pt>
                <c:pt idx="23">
                  <c:v>0.60583200000000004</c:v>
                </c:pt>
                <c:pt idx="24">
                  <c:v>3.3609900000000001</c:v>
                </c:pt>
                <c:pt idx="25">
                  <c:v>3.7179500000000001</c:v>
                </c:pt>
                <c:pt idx="26">
                  <c:v>4.07491</c:v>
                </c:pt>
                <c:pt idx="27">
                  <c:v>4.42685</c:v>
                </c:pt>
                <c:pt idx="28">
                  <c:v>4.7737600000000002</c:v>
                </c:pt>
                <c:pt idx="29">
                  <c:v>5.12066</c:v>
                </c:pt>
                <c:pt idx="30">
                  <c:v>5.4725999999999999</c:v>
                </c:pt>
                <c:pt idx="31">
                  <c:v>5.8345900000000004</c:v>
                </c:pt>
                <c:pt idx="32">
                  <c:v>6.19658</c:v>
                </c:pt>
                <c:pt idx="33">
                  <c:v>6.5585699999999996</c:v>
                </c:pt>
                <c:pt idx="34">
                  <c:v>6.91554</c:v>
                </c:pt>
                <c:pt idx="35">
                  <c:v>7.2725</c:v>
                </c:pt>
                <c:pt idx="36">
                  <c:v>7.6395200000000001</c:v>
                </c:pt>
                <c:pt idx="37">
                  <c:v>8.0165900000000008</c:v>
                </c:pt>
                <c:pt idx="38">
                  <c:v>8.3232800000000005</c:v>
                </c:pt>
                <c:pt idx="39">
                  <c:v>8.4439399999999996</c:v>
                </c:pt>
                <c:pt idx="40">
                  <c:v>3.0040200000000001</c:v>
                </c:pt>
                <c:pt idx="41">
                  <c:v>2.6470600000000002</c:v>
                </c:pt>
                <c:pt idx="42">
                  <c:v>2.2951199999999998</c:v>
                </c:pt>
                <c:pt idx="43">
                  <c:v>7.33786</c:v>
                </c:pt>
                <c:pt idx="44">
                  <c:v>7.0160900000000002</c:v>
                </c:pt>
                <c:pt idx="45">
                  <c:v>6.8552</c:v>
                </c:pt>
                <c:pt idx="46">
                  <c:v>6.9356499999999999</c:v>
                </c:pt>
                <c:pt idx="47">
                  <c:v>6.9758699999999996</c:v>
                </c:pt>
                <c:pt idx="48">
                  <c:v>6.6440400000000004</c:v>
                </c:pt>
                <c:pt idx="49">
                  <c:v>6.3122199999999999</c:v>
                </c:pt>
                <c:pt idx="50">
                  <c:v>5.9653099999999997</c:v>
                </c:pt>
                <c:pt idx="51">
                  <c:v>5.6083499999999997</c:v>
                </c:pt>
                <c:pt idx="52">
                  <c:v>5.2513800000000002</c:v>
                </c:pt>
                <c:pt idx="53">
                  <c:v>4.8944200000000002</c:v>
                </c:pt>
                <c:pt idx="54">
                  <c:v>4.5324299999999997</c:v>
                </c:pt>
                <c:pt idx="55">
                  <c:v>4.1754699999999998</c:v>
                </c:pt>
                <c:pt idx="56">
                  <c:v>3.8184999999999998</c:v>
                </c:pt>
                <c:pt idx="57">
                  <c:v>3.4565100000000002</c:v>
                </c:pt>
                <c:pt idx="58">
                  <c:v>3.0995499999999998</c:v>
                </c:pt>
                <c:pt idx="59">
                  <c:v>2.7425799999999998</c:v>
                </c:pt>
                <c:pt idx="60">
                  <c:v>2.3856199999999999</c:v>
                </c:pt>
                <c:pt idx="61">
                  <c:v>2.0286599999999999</c:v>
                </c:pt>
                <c:pt idx="62">
                  <c:v>1.6716899999999999</c:v>
                </c:pt>
                <c:pt idx="63">
                  <c:v>1.31473</c:v>
                </c:pt>
                <c:pt idx="64">
                  <c:v>0.95776799999999995</c:v>
                </c:pt>
                <c:pt idx="65">
                  <c:v>0.595777</c:v>
                </c:pt>
                <c:pt idx="66">
                  <c:v>0.238813</c:v>
                </c:pt>
                <c:pt idx="67">
                  <c:v>-8.2956299999999997E-2</c:v>
                </c:pt>
                <c:pt idx="68">
                  <c:v>-0.33936699999999997</c:v>
                </c:pt>
                <c:pt idx="69">
                  <c:v>-0.32428400000000002</c:v>
                </c:pt>
                <c:pt idx="70">
                  <c:v>-0.34942200000000001</c:v>
                </c:pt>
                <c:pt idx="71">
                  <c:v>-0.30417300000000003</c:v>
                </c:pt>
                <c:pt idx="72">
                  <c:v>-0.28406199999999998</c:v>
                </c:pt>
                <c:pt idx="73">
                  <c:v>-0.19356499999999999</c:v>
                </c:pt>
                <c:pt idx="74">
                  <c:v>-0.66616399999999998</c:v>
                </c:pt>
                <c:pt idx="75">
                  <c:v>-1.25691E-2</c:v>
                </c:pt>
                <c:pt idx="76">
                  <c:v>-0.62091499999999999</c:v>
                </c:pt>
                <c:pt idx="77">
                  <c:v>-0.721468</c:v>
                </c:pt>
                <c:pt idx="78">
                  <c:v>-0.70638500000000004</c:v>
                </c:pt>
                <c:pt idx="79">
                  <c:v>-0.65108100000000002</c:v>
                </c:pt>
                <c:pt idx="80">
                  <c:v>-0.54047299999999998</c:v>
                </c:pt>
                <c:pt idx="81">
                  <c:v>-0.32931100000000002</c:v>
                </c:pt>
                <c:pt idx="82">
                  <c:v>-5.2790299999999998E-2</c:v>
                </c:pt>
                <c:pt idx="83">
                  <c:v>0.23378599999999999</c:v>
                </c:pt>
                <c:pt idx="84">
                  <c:v>0.50527900000000003</c:v>
                </c:pt>
                <c:pt idx="85">
                  <c:v>0.68124700000000005</c:v>
                </c:pt>
                <c:pt idx="86">
                  <c:v>0.67621900000000001</c:v>
                </c:pt>
                <c:pt idx="87">
                  <c:v>0.495224</c:v>
                </c:pt>
                <c:pt idx="88">
                  <c:v>0.22373100000000001</c:v>
                </c:pt>
                <c:pt idx="89">
                  <c:v>-7.5414799999999997E-3</c:v>
                </c:pt>
                <c:pt idx="90">
                  <c:v>-0.11815000000000001</c:v>
                </c:pt>
                <c:pt idx="91">
                  <c:v>-0.18350900000000001</c:v>
                </c:pt>
                <c:pt idx="92">
                  <c:v>-0.34942200000000001</c:v>
                </c:pt>
                <c:pt idx="93">
                  <c:v>-0.434892</c:v>
                </c:pt>
                <c:pt idx="94">
                  <c:v>0.37958799999999998</c:v>
                </c:pt>
                <c:pt idx="95">
                  <c:v>0.38461499999999998</c:v>
                </c:pt>
                <c:pt idx="96">
                  <c:v>0.35947699999999999</c:v>
                </c:pt>
                <c:pt idx="97">
                  <c:v>0.33936699999999997</c:v>
                </c:pt>
                <c:pt idx="98">
                  <c:v>0.38461499999999998</c:v>
                </c:pt>
                <c:pt idx="99">
                  <c:v>0.54549999999999998</c:v>
                </c:pt>
                <c:pt idx="100">
                  <c:v>0.79688300000000001</c:v>
                </c:pt>
                <c:pt idx="101">
                  <c:v>1.07843</c:v>
                </c:pt>
                <c:pt idx="102">
                  <c:v>1.3298099999999999</c:v>
                </c:pt>
                <c:pt idx="103">
                  <c:v>1.5208600000000001</c:v>
                </c:pt>
                <c:pt idx="104">
                  <c:v>1.6566099999999999</c:v>
                </c:pt>
                <c:pt idx="105">
                  <c:v>1.81247</c:v>
                </c:pt>
                <c:pt idx="106">
                  <c:v>2.06385</c:v>
                </c:pt>
                <c:pt idx="107">
                  <c:v>0.25389600000000001</c:v>
                </c:pt>
                <c:pt idx="108">
                  <c:v>8.2956299999999997E-2</c:v>
                </c:pt>
                <c:pt idx="109">
                  <c:v>-9.30116E-2</c:v>
                </c:pt>
                <c:pt idx="110">
                  <c:v>-0.26897900000000002</c:v>
                </c:pt>
                <c:pt idx="111">
                  <c:v>1.2192099999999999</c:v>
                </c:pt>
                <c:pt idx="112">
                  <c:v>0.942685</c:v>
                </c:pt>
                <c:pt idx="113">
                  <c:v>0.61588699999999996</c:v>
                </c:pt>
                <c:pt idx="114">
                  <c:v>0.34942200000000001</c:v>
                </c:pt>
                <c:pt idx="115">
                  <c:v>0.18350900000000001</c:v>
                </c:pt>
                <c:pt idx="116">
                  <c:v>2.2624399999999999E-2</c:v>
                </c:pt>
                <c:pt idx="117">
                  <c:v>-0.213675</c:v>
                </c:pt>
                <c:pt idx="118">
                  <c:v>-0.52036199999999999</c:v>
                </c:pt>
                <c:pt idx="119">
                  <c:v>-0.84213199999999999</c:v>
                </c:pt>
                <c:pt idx="120">
                  <c:v>-1.1287100000000001</c:v>
                </c:pt>
                <c:pt idx="121">
                  <c:v>-1.3750599999999999</c:v>
                </c:pt>
                <c:pt idx="122">
                  <c:v>-1.5811999999999999</c:v>
                </c:pt>
                <c:pt idx="123">
                  <c:v>-1.7018599999999999</c:v>
                </c:pt>
                <c:pt idx="124">
                  <c:v>-1.6666700000000001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B-4A76-A1AD-B6E1BAFDE869}"/>
            </c:ext>
          </c:extLst>
        </c:ser>
        <c:ser>
          <c:idx val="1"/>
          <c:order val="1"/>
          <c:spPr>
            <a:solidFill>
              <a:srgbClr val="BDC3C7"/>
            </a:solidFill>
            <a:ln>
              <a:noFill/>
            </a:ln>
            <a:effectLst/>
          </c:spPr>
          <c:val>
            <c:numRef>
              <c:f>对比折线图!$F$4:$F$139</c:f>
              <c:numCache>
                <c:formatCode>General</c:formatCode>
                <c:ptCount val="136"/>
                <c:pt idx="0">
                  <c:v>6.2544000000000004</c:v>
                </c:pt>
                <c:pt idx="1">
                  <c:v>6.0482700000000005</c:v>
                </c:pt>
                <c:pt idx="2">
                  <c:v>5.6007999999999996</c:v>
                </c:pt>
                <c:pt idx="3">
                  <c:v>5.8823499999999997</c:v>
                </c:pt>
                <c:pt idx="4">
                  <c:v>6.7521399999999998</c:v>
                </c:pt>
                <c:pt idx="5">
                  <c:v>6.8778319999999997</c:v>
                </c:pt>
                <c:pt idx="6">
                  <c:v>6.9884339999999998</c:v>
                </c:pt>
                <c:pt idx="7">
                  <c:v>7.0186029999999997</c:v>
                </c:pt>
                <c:pt idx="8">
                  <c:v>6.6716899999999999</c:v>
                </c:pt>
                <c:pt idx="9">
                  <c:v>6.1488199999999997</c:v>
                </c:pt>
                <c:pt idx="10">
                  <c:v>5.77677</c:v>
                </c:pt>
                <c:pt idx="11">
                  <c:v>5.5806899999999997</c:v>
                </c:pt>
                <c:pt idx="12">
                  <c:v>6.47058</c:v>
                </c:pt>
                <c:pt idx="13">
                  <c:v>6.5962800000000001</c:v>
                </c:pt>
                <c:pt idx="14">
                  <c:v>6.8778200000000007</c:v>
                </c:pt>
                <c:pt idx="15">
                  <c:v>7.0135700000000005</c:v>
                </c:pt>
                <c:pt idx="16">
                  <c:v>6.9984900000000003</c:v>
                </c:pt>
                <c:pt idx="17">
                  <c:v>7.0688800000000001</c:v>
                </c:pt>
                <c:pt idx="18">
                  <c:v>7.3906500000000008</c:v>
                </c:pt>
                <c:pt idx="19">
                  <c:v>7.8431299999999986</c:v>
                </c:pt>
                <c:pt idx="20">
                  <c:v>8.2101400000000009</c:v>
                </c:pt>
                <c:pt idx="21">
                  <c:v>9.4921800000000012</c:v>
                </c:pt>
                <c:pt idx="22">
                  <c:v>10.175926</c:v>
                </c:pt>
                <c:pt idx="23">
                  <c:v>10.869768000000001</c:v>
                </c:pt>
                <c:pt idx="24">
                  <c:v>8.4364099999999986</c:v>
                </c:pt>
                <c:pt idx="25">
                  <c:v>8.2503499999999992</c:v>
                </c:pt>
                <c:pt idx="26">
                  <c:v>4.0120700000000005</c:v>
                </c:pt>
                <c:pt idx="27">
                  <c:v>8.1297499999999996</c:v>
                </c:pt>
                <c:pt idx="28">
                  <c:v>7.4409400000000003</c:v>
                </c:pt>
                <c:pt idx="29">
                  <c:v>6.7370399999999995</c:v>
                </c:pt>
                <c:pt idx="30">
                  <c:v>5.3544</c:v>
                </c:pt>
                <c:pt idx="31">
                  <c:v>5.3444099999999999</c:v>
                </c:pt>
                <c:pt idx="32">
                  <c:v>5.3393199999999998</c:v>
                </c:pt>
                <c:pt idx="33">
                  <c:v>5.3343299999999996</c:v>
                </c:pt>
                <c:pt idx="34">
                  <c:v>3.5595599999999994</c:v>
                </c:pt>
                <c:pt idx="35">
                  <c:v>2.8507000000000007</c:v>
                </c:pt>
                <c:pt idx="36">
                  <c:v>2.1367500000000001</c:v>
                </c:pt>
                <c:pt idx="37">
                  <c:v>1.4077399999999987</c:v>
                </c:pt>
                <c:pt idx="38">
                  <c:v>0.74408999999999992</c:v>
                </c:pt>
                <c:pt idx="39">
                  <c:v>0.26144000000000034</c:v>
                </c:pt>
                <c:pt idx="40">
                  <c:v>5.3544499999999999</c:v>
                </c:pt>
                <c:pt idx="41">
                  <c:v>5.3745600000000007</c:v>
                </c:pt>
                <c:pt idx="42">
                  <c:v>5.3896500000000005</c:v>
                </c:pt>
                <c:pt idx="43">
                  <c:v>0.32176999999999989</c:v>
                </c:pt>
                <c:pt idx="44">
                  <c:v>0.96530999999999967</c:v>
                </c:pt>
                <c:pt idx="45">
                  <c:v>1.4529999999999994</c:v>
                </c:pt>
                <c:pt idx="46">
                  <c:v>0.37706999999999979</c:v>
                </c:pt>
                <c:pt idx="47">
                  <c:v>0.23127000000000031</c:v>
                </c:pt>
                <c:pt idx="48">
                  <c:v>0.91000999999999976</c:v>
                </c:pt>
                <c:pt idx="49">
                  <c:v>1.5736499999999998</c:v>
                </c:pt>
                <c:pt idx="50">
                  <c:v>2.222220000000001</c:v>
                </c:pt>
                <c:pt idx="51">
                  <c:v>2.8909000000000002</c:v>
                </c:pt>
                <c:pt idx="52">
                  <c:v>3.5696400000000006</c:v>
                </c:pt>
                <c:pt idx="53">
                  <c:v>4.2483699999999995</c:v>
                </c:pt>
                <c:pt idx="54">
                  <c:v>3.8712900000000001</c:v>
                </c:pt>
                <c:pt idx="55">
                  <c:v>4.4896900000000004</c:v>
                </c:pt>
                <c:pt idx="56">
                  <c:v>5.0527899999999999</c:v>
                </c:pt>
                <c:pt idx="57">
                  <c:v>5.5706400000000009</c:v>
                </c:pt>
                <c:pt idx="58">
                  <c:v>6.1287100000000008</c:v>
                </c:pt>
                <c:pt idx="59">
                  <c:v>6.7772799999999993</c:v>
                </c:pt>
                <c:pt idx="60">
                  <c:v>7.4459499999999998</c:v>
                </c:pt>
                <c:pt idx="61">
                  <c:v>8.0341399999999989</c:v>
                </c:pt>
                <c:pt idx="62">
                  <c:v>6.8627500000000001</c:v>
                </c:pt>
                <c:pt idx="63">
                  <c:v>7.5414800000000008</c:v>
                </c:pt>
                <c:pt idx="64">
                  <c:v>8.185022</c:v>
                </c:pt>
                <c:pt idx="65">
                  <c:v>8.6827529999999999</c:v>
                </c:pt>
                <c:pt idx="66">
                  <c:v>9.3162369999999992</c:v>
                </c:pt>
                <c:pt idx="67">
                  <c:v>9.9748662999999986</c:v>
                </c:pt>
                <c:pt idx="68">
                  <c:v>9.7938669999999988</c:v>
                </c:pt>
                <c:pt idx="69">
                  <c:v>10.025134000000001</c:v>
                </c:pt>
                <c:pt idx="70">
                  <c:v>10.291602000000001</c:v>
                </c:pt>
                <c:pt idx="71">
                  <c:v>10.392173</c:v>
                </c:pt>
                <c:pt idx="72">
                  <c:v>8.8235320000000002</c:v>
                </c:pt>
                <c:pt idx="73">
                  <c:v>8.4917049999999996</c:v>
                </c:pt>
                <c:pt idx="74">
                  <c:v>8.8034140000000001</c:v>
                </c:pt>
                <c:pt idx="75">
                  <c:v>8.0392191000000004</c:v>
                </c:pt>
                <c:pt idx="76">
                  <c:v>8.5218749999999996</c:v>
                </c:pt>
                <c:pt idx="77">
                  <c:v>8.4213179999999994</c:v>
                </c:pt>
                <c:pt idx="78">
                  <c:v>8.1447950000000002</c:v>
                </c:pt>
                <c:pt idx="79">
                  <c:v>7.8180010000000006</c:v>
                </c:pt>
                <c:pt idx="80">
                  <c:v>7.5012530000000002</c:v>
                </c:pt>
                <c:pt idx="81">
                  <c:v>9.0950210000000009</c:v>
                </c:pt>
                <c:pt idx="82">
                  <c:v>9.1201603000000002</c:v>
                </c:pt>
                <c:pt idx="83">
                  <c:v>9.1352440000000001</c:v>
                </c:pt>
                <c:pt idx="84">
                  <c:v>6.5309210000000002</c:v>
                </c:pt>
                <c:pt idx="85">
                  <c:v>6.1437930000000005</c:v>
                </c:pt>
                <c:pt idx="86">
                  <c:v>6.1739610000000003</c:v>
                </c:pt>
                <c:pt idx="87">
                  <c:v>6.415286</c:v>
                </c:pt>
                <c:pt idx="88">
                  <c:v>6.6113590000000002</c:v>
                </c:pt>
                <c:pt idx="89">
                  <c:v>6.6063314800000006</c:v>
                </c:pt>
                <c:pt idx="90">
                  <c:v>6.4152800000000001</c:v>
                </c:pt>
                <c:pt idx="91">
                  <c:v>6.2594289999999999</c:v>
                </c:pt>
                <c:pt idx="92">
                  <c:v>6.3750619999999998</c:v>
                </c:pt>
                <c:pt idx="93">
                  <c:v>6.5258919999999998</c:v>
                </c:pt>
                <c:pt idx="94">
                  <c:v>5.7818019999999999</c:v>
                </c:pt>
                <c:pt idx="95">
                  <c:v>5.8119649999999998</c:v>
                </c:pt>
                <c:pt idx="96">
                  <c:v>5.7968830000000002</c:v>
                </c:pt>
                <c:pt idx="97">
                  <c:v>5.6963330000000001</c:v>
                </c:pt>
                <c:pt idx="98">
                  <c:v>5.5052750000000001</c:v>
                </c:pt>
                <c:pt idx="99">
                  <c:v>5.2488700000000001</c:v>
                </c:pt>
                <c:pt idx="100">
                  <c:v>5.0125669999999998</c:v>
                </c:pt>
                <c:pt idx="101">
                  <c:v>4.8969300000000002</c:v>
                </c:pt>
                <c:pt idx="102">
                  <c:v>4.9220800000000002</c:v>
                </c:pt>
                <c:pt idx="103">
                  <c:v>4.9773800000000001</c:v>
                </c:pt>
                <c:pt idx="104">
                  <c:v>4.9472100000000001</c:v>
                </c:pt>
                <c:pt idx="105">
                  <c:v>4.7561599999999995</c:v>
                </c:pt>
                <c:pt idx="106">
                  <c:v>4.4142799999999998</c:v>
                </c:pt>
                <c:pt idx="107">
                  <c:v>6.1639039999999996</c:v>
                </c:pt>
                <c:pt idx="108">
                  <c:v>6.3951737</c:v>
                </c:pt>
                <c:pt idx="109">
                  <c:v>6.7823015999999994</c:v>
                </c:pt>
                <c:pt idx="110">
                  <c:v>7.1794890000000002</c:v>
                </c:pt>
                <c:pt idx="111">
                  <c:v>5.8069299999999995</c:v>
                </c:pt>
                <c:pt idx="112">
                  <c:v>6.1437949999999999</c:v>
                </c:pt>
                <c:pt idx="113">
                  <c:v>6.6013030000000006</c:v>
                </c:pt>
                <c:pt idx="114">
                  <c:v>7.114128</c:v>
                </c:pt>
                <c:pt idx="115">
                  <c:v>7.5867310000000003</c:v>
                </c:pt>
                <c:pt idx="116">
                  <c:v>8.0040256000000003</c:v>
                </c:pt>
                <c:pt idx="117">
                  <c:v>8.3006550000000008</c:v>
                </c:pt>
                <c:pt idx="118">
                  <c:v>7.7073920000000005</c:v>
                </c:pt>
                <c:pt idx="119">
                  <c:v>7.8129720000000002</c:v>
                </c:pt>
                <c:pt idx="120">
                  <c:v>8.8084500000000006</c:v>
                </c:pt>
                <c:pt idx="121">
                  <c:v>9.0346899999999994</c:v>
                </c:pt>
                <c:pt idx="122">
                  <c:v>9.276019999999999</c:v>
                </c:pt>
                <c:pt idx="123">
                  <c:v>9.5223699999999987</c:v>
                </c:pt>
                <c:pt idx="124">
                  <c:v>9.7385699999999993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B-4A76-A1AD-B6E1BAFD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62944"/>
        <c:axId val="1505564384"/>
      </c:areaChart>
      <c:lineChart>
        <c:grouping val="standard"/>
        <c:varyColors val="0"/>
        <c:ser>
          <c:idx val="2"/>
          <c:order val="2"/>
          <c:tx>
            <c:strRef>
              <c:f>对比折线图!$C$3</c:f>
              <c:strCache>
                <c:ptCount val="1"/>
                <c:pt idx="0">
                  <c:v>FTSE</c:v>
                </c:pt>
              </c:strCache>
            </c:strRef>
          </c:tx>
          <c:spPr>
            <a:ln w="28575" cap="rnd">
              <a:solidFill>
                <a:srgbClr val="607D8B"/>
              </a:solidFill>
              <a:round/>
            </a:ln>
            <a:effectLst/>
          </c:spPr>
          <c:marker>
            <c:symbol val="none"/>
          </c:marker>
          <c:val>
            <c:numRef>
              <c:f>对比折线图!$C$4:$C$128</c:f>
              <c:numCache>
                <c:formatCode>General</c:formatCode>
                <c:ptCount val="125"/>
                <c:pt idx="0">
                  <c:v>8.3283100000000001</c:v>
                </c:pt>
                <c:pt idx="1">
                  <c:v>8.1322299999999998</c:v>
                </c:pt>
                <c:pt idx="2">
                  <c:v>7.84565</c:v>
                </c:pt>
                <c:pt idx="3">
                  <c:v>8.2076399999999996</c:v>
                </c:pt>
                <c:pt idx="4">
                  <c:v>7.99648</c:v>
                </c:pt>
                <c:pt idx="5">
                  <c:v>7.8557100000000002</c:v>
                </c:pt>
                <c:pt idx="6">
                  <c:v>7.7350399999999997</c:v>
                </c:pt>
                <c:pt idx="7">
                  <c:v>7.5490199999999996</c:v>
                </c:pt>
                <c:pt idx="8">
                  <c:v>8.1674199999999999</c:v>
                </c:pt>
                <c:pt idx="9">
                  <c:v>7.9059799999999996</c:v>
                </c:pt>
                <c:pt idx="10">
                  <c:v>7.8003999999999998</c:v>
                </c:pt>
                <c:pt idx="11">
                  <c:v>7.8858699999999997</c:v>
                </c:pt>
                <c:pt idx="12">
                  <c:v>8.0316700000000001</c:v>
                </c:pt>
                <c:pt idx="13">
                  <c:v>8.3283100000000001</c:v>
                </c:pt>
                <c:pt idx="14">
                  <c:v>8.6299600000000005</c:v>
                </c:pt>
                <c:pt idx="15">
                  <c:v>8.8662600000000005</c:v>
                </c:pt>
                <c:pt idx="16">
                  <c:v>9.0925100000000008</c:v>
                </c:pt>
                <c:pt idx="17">
                  <c:v>9.3690300000000004</c:v>
                </c:pt>
                <c:pt idx="18">
                  <c:v>9.6958300000000008</c:v>
                </c:pt>
                <c:pt idx="19">
                  <c:v>10.037699999999999</c:v>
                </c:pt>
                <c:pt idx="20">
                  <c:v>10.384600000000001</c:v>
                </c:pt>
                <c:pt idx="21">
                  <c:v>10.7315</c:v>
                </c:pt>
                <c:pt idx="22">
                  <c:v>11.0985</c:v>
                </c:pt>
                <c:pt idx="23">
                  <c:v>11.4756</c:v>
                </c:pt>
                <c:pt idx="24">
                  <c:v>11.7974</c:v>
                </c:pt>
                <c:pt idx="25">
                  <c:v>11.968299999999999</c:v>
                </c:pt>
                <c:pt idx="26">
                  <c:v>8.0869800000000005</c:v>
                </c:pt>
                <c:pt idx="27">
                  <c:v>12.5566</c:v>
                </c:pt>
                <c:pt idx="28">
                  <c:v>12.214700000000001</c:v>
                </c:pt>
                <c:pt idx="29">
                  <c:v>11.857699999999999</c:v>
                </c:pt>
                <c:pt idx="30">
                  <c:v>10.827</c:v>
                </c:pt>
                <c:pt idx="31">
                  <c:v>11.179</c:v>
                </c:pt>
                <c:pt idx="32">
                  <c:v>11.5359</c:v>
                </c:pt>
                <c:pt idx="33">
                  <c:v>11.892899999999999</c:v>
                </c:pt>
                <c:pt idx="34">
                  <c:v>10.475099999999999</c:v>
                </c:pt>
                <c:pt idx="35">
                  <c:v>10.123200000000001</c:v>
                </c:pt>
                <c:pt idx="36">
                  <c:v>9.7762700000000002</c:v>
                </c:pt>
                <c:pt idx="37">
                  <c:v>9.4243299999999994</c:v>
                </c:pt>
                <c:pt idx="38">
                  <c:v>9.0673700000000004</c:v>
                </c:pt>
                <c:pt idx="39">
                  <c:v>8.7053799999999999</c:v>
                </c:pt>
                <c:pt idx="40">
                  <c:v>8.3584700000000005</c:v>
                </c:pt>
                <c:pt idx="41">
                  <c:v>8.0216200000000004</c:v>
                </c:pt>
                <c:pt idx="42">
                  <c:v>7.6847700000000003</c:v>
                </c:pt>
                <c:pt idx="43">
                  <c:v>7.33786</c:v>
                </c:pt>
                <c:pt idx="44">
                  <c:v>7.0160900000000002</c:v>
                </c:pt>
                <c:pt idx="45">
                  <c:v>6.8552</c:v>
                </c:pt>
                <c:pt idx="46">
                  <c:v>6.9356499999999999</c:v>
                </c:pt>
                <c:pt idx="47">
                  <c:v>7.2071399999999999</c:v>
                </c:pt>
                <c:pt idx="48">
                  <c:v>7.5540500000000002</c:v>
                </c:pt>
                <c:pt idx="49">
                  <c:v>7.8858699999999997</c:v>
                </c:pt>
                <c:pt idx="50">
                  <c:v>8.1875300000000006</c:v>
                </c:pt>
                <c:pt idx="51">
                  <c:v>8.49925</c:v>
                </c:pt>
                <c:pt idx="52">
                  <c:v>8.8210200000000007</c:v>
                </c:pt>
                <c:pt idx="53">
                  <c:v>9.1427899999999998</c:v>
                </c:pt>
                <c:pt idx="54">
                  <c:v>8.4037199999999999</c:v>
                </c:pt>
                <c:pt idx="55">
                  <c:v>8.6651600000000002</c:v>
                </c:pt>
                <c:pt idx="56">
                  <c:v>8.8712900000000001</c:v>
                </c:pt>
                <c:pt idx="57">
                  <c:v>9.0271500000000007</c:v>
                </c:pt>
                <c:pt idx="58">
                  <c:v>9.2282600000000006</c:v>
                </c:pt>
                <c:pt idx="59">
                  <c:v>9.5198599999999995</c:v>
                </c:pt>
                <c:pt idx="60">
                  <c:v>9.8315699999999993</c:v>
                </c:pt>
                <c:pt idx="61">
                  <c:v>10.062799999999999</c:v>
                </c:pt>
                <c:pt idx="62">
                  <c:v>8.53444</c:v>
                </c:pt>
                <c:pt idx="63">
                  <c:v>8.8562100000000008</c:v>
                </c:pt>
                <c:pt idx="64">
                  <c:v>9.1427899999999998</c:v>
                </c:pt>
                <c:pt idx="65">
                  <c:v>9.2785299999999999</c:v>
                </c:pt>
                <c:pt idx="66">
                  <c:v>9.5550499999999996</c:v>
                </c:pt>
                <c:pt idx="67">
                  <c:v>9.8919099999999993</c:v>
                </c:pt>
                <c:pt idx="68">
                  <c:v>9.4544999999999995</c:v>
                </c:pt>
                <c:pt idx="69">
                  <c:v>9.7008500000000009</c:v>
                </c:pt>
                <c:pt idx="70">
                  <c:v>9.9421800000000005</c:v>
                </c:pt>
                <c:pt idx="71">
                  <c:v>10.087999999999999</c:v>
                </c:pt>
                <c:pt idx="72">
                  <c:v>8.5394699999999997</c:v>
                </c:pt>
                <c:pt idx="73">
                  <c:v>8.2981400000000001</c:v>
                </c:pt>
                <c:pt idx="74">
                  <c:v>8.1372499999999999</c:v>
                </c:pt>
                <c:pt idx="75">
                  <c:v>8.0266500000000001</c:v>
                </c:pt>
                <c:pt idx="76">
                  <c:v>7.9009600000000004</c:v>
                </c:pt>
                <c:pt idx="77">
                  <c:v>7.6998499999999996</c:v>
                </c:pt>
                <c:pt idx="78">
                  <c:v>7.4384100000000002</c:v>
                </c:pt>
                <c:pt idx="79">
                  <c:v>7.1669200000000002</c:v>
                </c:pt>
                <c:pt idx="80">
                  <c:v>6.9607799999999997</c:v>
                </c:pt>
                <c:pt idx="81">
                  <c:v>8.7657100000000003</c:v>
                </c:pt>
                <c:pt idx="82">
                  <c:v>9.0673700000000004</c:v>
                </c:pt>
                <c:pt idx="83">
                  <c:v>9.3690300000000004</c:v>
                </c:pt>
                <c:pt idx="84">
                  <c:v>7.0362</c:v>
                </c:pt>
                <c:pt idx="85">
                  <c:v>6.8250400000000004</c:v>
                </c:pt>
                <c:pt idx="86">
                  <c:v>6.8501799999999999</c:v>
                </c:pt>
                <c:pt idx="87">
                  <c:v>6.9105100000000004</c:v>
                </c:pt>
                <c:pt idx="88">
                  <c:v>6.8350900000000001</c:v>
                </c:pt>
                <c:pt idx="89">
                  <c:v>6.5987900000000002</c:v>
                </c:pt>
                <c:pt idx="90">
                  <c:v>6.2971300000000001</c:v>
                </c:pt>
                <c:pt idx="91">
                  <c:v>6.07592</c:v>
                </c:pt>
                <c:pt idx="92">
                  <c:v>6.0256400000000001</c:v>
                </c:pt>
                <c:pt idx="93">
                  <c:v>6.0910000000000002</c:v>
                </c:pt>
                <c:pt idx="94">
                  <c:v>6.1613899999999999</c:v>
                </c:pt>
                <c:pt idx="95">
                  <c:v>6.19658</c:v>
                </c:pt>
                <c:pt idx="96">
                  <c:v>6.1563600000000003</c:v>
                </c:pt>
                <c:pt idx="97">
                  <c:v>6.0357000000000003</c:v>
                </c:pt>
                <c:pt idx="98">
                  <c:v>5.8898900000000003</c:v>
                </c:pt>
                <c:pt idx="99">
                  <c:v>5.7943699999999998</c:v>
                </c:pt>
                <c:pt idx="100">
                  <c:v>5.80945</c:v>
                </c:pt>
                <c:pt idx="101">
                  <c:v>5.9753600000000002</c:v>
                </c:pt>
                <c:pt idx="102">
                  <c:v>6.2518900000000004</c:v>
                </c:pt>
                <c:pt idx="103">
                  <c:v>6.49824</c:v>
                </c:pt>
                <c:pt idx="104">
                  <c:v>6.6038199999999998</c:v>
                </c:pt>
                <c:pt idx="105">
                  <c:v>6.5686299999999997</c:v>
                </c:pt>
                <c:pt idx="106">
                  <c:v>6.4781300000000002</c:v>
                </c:pt>
                <c:pt idx="107">
                  <c:v>6.4177999999999997</c:v>
                </c:pt>
                <c:pt idx="108">
                  <c:v>6.4781300000000002</c:v>
                </c:pt>
                <c:pt idx="109">
                  <c:v>6.6892899999999997</c:v>
                </c:pt>
                <c:pt idx="110">
                  <c:v>6.9105100000000004</c:v>
                </c:pt>
                <c:pt idx="111">
                  <c:v>7.0261399999999998</c:v>
                </c:pt>
                <c:pt idx="112">
                  <c:v>7.0864799999999999</c:v>
                </c:pt>
                <c:pt idx="113">
                  <c:v>7.2171900000000004</c:v>
                </c:pt>
                <c:pt idx="114">
                  <c:v>7.4635499999999997</c:v>
                </c:pt>
                <c:pt idx="115">
                  <c:v>7.7702400000000003</c:v>
                </c:pt>
                <c:pt idx="116">
                  <c:v>8.0266500000000001</c:v>
                </c:pt>
                <c:pt idx="117">
                  <c:v>8.0869800000000005</c:v>
                </c:pt>
                <c:pt idx="118">
                  <c:v>7.18703</c:v>
                </c:pt>
                <c:pt idx="119">
                  <c:v>6.9708399999999999</c:v>
                </c:pt>
                <c:pt idx="120">
                  <c:v>7.6797399999999998</c:v>
                </c:pt>
                <c:pt idx="121">
                  <c:v>7.6596299999999999</c:v>
                </c:pt>
                <c:pt idx="122">
                  <c:v>7.69482</c:v>
                </c:pt>
                <c:pt idx="123">
                  <c:v>7.8205099999999996</c:v>
                </c:pt>
                <c:pt idx="124">
                  <c:v>8.0718999999999994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B-4A76-A1AD-B6E1BAFD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62944"/>
        <c:axId val="1505564384"/>
      </c:lineChart>
      <c:scatterChart>
        <c:scatterStyle val="lineMarker"/>
        <c:varyColors val="0"/>
        <c:ser>
          <c:idx val="4"/>
          <c:order val="4"/>
          <c:tx>
            <c:strRef>
              <c:f>对比折线图!$G$3</c:f>
              <c:strCache>
                <c:ptCount val="1"/>
                <c:pt idx="0">
                  <c:v>zeroline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plus"/>
            <c:errValType val="fixedVal"/>
            <c:noEndCap val="1"/>
            <c:val val="140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93B-4A76-A1AD-B6E1BAFD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62944"/>
        <c:axId val="1505564384"/>
      </c:scatterChart>
      <c:scatterChart>
        <c:scatterStyle val="smoothMarker"/>
        <c:varyColors val="0"/>
        <c:ser>
          <c:idx val="3"/>
          <c:order val="3"/>
          <c:tx>
            <c:strRef>
              <c:f>对比折线图!$D$3</c:f>
              <c:strCache>
                <c:ptCount val="1"/>
                <c:pt idx="0">
                  <c:v>Real corporate</c:v>
                </c:pt>
              </c:strCache>
            </c:strRef>
          </c:tx>
          <c:spPr>
            <a:ln w="38100" cap="rnd">
              <a:solidFill>
                <a:srgbClr val="B71C1C"/>
              </a:solidFill>
              <a:round/>
            </a:ln>
            <a:effectLst/>
          </c:spPr>
          <c:marker>
            <c:symbol val="none"/>
          </c:marker>
          <c:yVal>
            <c:numRef>
              <c:f>对比折线图!$D$4:$D$128</c:f>
              <c:numCache>
                <c:formatCode>General</c:formatCode>
                <c:ptCount val="125"/>
                <c:pt idx="0">
                  <c:v>2.0739100000000001</c:v>
                </c:pt>
                <c:pt idx="1">
                  <c:v>2.0839599999999998</c:v>
                </c:pt>
                <c:pt idx="2">
                  <c:v>2.24485</c:v>
                </c:pt>
                <c:pt idx="3">
                  <c:v>2.3252899999999999</c:v>
                </c:pt>
                <c:pt idx="4">
                  <c:v>1.24434</c:v>
                </c:pt>
                <c:pt idx="5">
                  <c:v>0.97787800000000002</c:v>
                </c:pt>
                <c:pt idx="6">
                  <c:v>0.74660599999999999</c:v>
                </c:pt>
                <c:pt idx="7">
                  <c:v>0.53041700000000003</c:v>
                </c:pt>
                <c:pt idx="8">
                  <c:v>1.49573</c:v>
                </c:pt>
                <c:pt idx="9">
                  <c:v>1.7571600000000001</c:v>
                </c:pt>
                <c:pt idx="10">
                  <c:v>2.0236299999999998</c:v>
                </c:pt>
                <c:pt idx="11">
                  <c:v>2.30518</c:v>
                </c:pt>
                <c:pt idx="12">
                  <c:v>1.5610900000000001</c:v>
                </c:pt>
                <c:pt idx="13">
                  <c:v>1.73203</c:v>
                </c:pt>
                <c:pt idx="14">
                  <c:v>1.75214</c:v>
                </c:pt>
                <c:pt idx="15">
                  <c:v>1.8526899999999999</c:v>
                </c:pt>
                <c:pt idx="16">
                  <c:v>2.09402</c:v>
                </c:pt>
                <c:pt idx="17">
                  <c:v>2.3001499999999999</c:v>
                </c:pt>
                <c:pt idx="18">
                  <c:v>2.30518</c:v>
                </c:pt>
                <c:pt idx="19">
                  <c:v>2.1945700000000001</c:v>
                </c:pt>
                <c:pt idx="20">
                  <c:v>2.1744599999999998</c:v>
                </c:pt>
                <c:pt idx="21">
                  <c:v>1.23932</c:v>
                </c:pt>
                <c:pt idx="22">
                  <c:v>0.92257400000000001</c:v>
                </c:pt>
                <c:pt idx="23">
                  <c:v>0.60583200000000004</c:v>
                </c:pt>
                <c:pt idx="24">
                  <c:v>3.3609900000000001</c:v>
                </c:pt>
                <c:pt idx="25">
                  <c:v>3.7179500000000001</c:v>
                </c:pt>
                <c:pt idx="26">
                  <c:v>4.07491</c:v>
                </c:pt>
                <c:pt idx="27">
                  <c:v>4.42685</c:v>
                </c:pt>
                <c:pt idx="28">
                  <c:v>4.7737600000000002</c:v>
                </c:pt>
                <c:pt idx="29">
                  <c:v>5.12066</c:v>
                </c:pt>
                <c:pt idx="30">
                  <c:v>5.4725999999999999</c:v>
                </c:pt>
                <c:pt idx="31">
                  <c:v>5.8345900000000004</c:v>
                </c:pt>
                <c:pt idx="32">
                  <c:v>6.19658</c:v>
                </c:pt>
                <c:pt idx="33">
                  <c:v>6.5585699999999996</c:v>
                </c:pt>
                <c:pt idx="34">
                  <c:v>6.91554</c:v>
                </c:pt>
                <c:pt idx="35">
                  <c:v>7.2725</c:v>
                </c:pt>
                <c:pt idx="36">
                  <c:v>7.6395200000000001</c:v>
                </c:pt>
                <c:pt idx="37">
                  <c:v>8.0165900000000008</c:v>
                </c:pt>
                <c:pt idx="38">
                  <c:v>8.3232800000000005</c:v>
                </c:pt>
                <c:pt idx="39">
                  <c:v>8.4439399999999996</c:v>
                </c:pt>
                <c:pt idx="40">
                  <c:v>3.0040200000000001</c:v>
                </c:pt>
                <c:pt idx="41">
                  <c:v>2.6470600000000002</c:v>
                </c:pt>
                <c:pt idx="42">
                  <c:v>2.2951199999999998</c:v>
                </c:pt>
                <c:pt idx="43">
                  <c:v>7.6596299999999999</c:v>
                </c:pt>
                <c:pt idx="44">
                  <c:v>7.9813999999999998</c:v>
                </c:pt>
                <c:pt idx="45">
                  <c:v>8.3081999999999994</c:v>
                </c:pt>
                <c:pt idx="46">
                  <c:v>7.3127199999999997</c:v>
                </c:pt>
                <c:pt idx="47">
                  <c:v>6.9758699999999996</c:v>
                </c:pt>
                <c:pt idx="48">
                  <c:v>6.6440400000000004</c:v>
                </c:pt>
                <c:pt idx="49">
                  <c:v>6.3122199999999999</c:v>
                </c:pt>
                <c:pt idx="50">
                  <c:v>5.9653099999999997</c:v>
                </c:pt>
                <c:pt idx="51">
                  <c:v>5.6083499999999997</c:v>
                </c:pt>
                <c:pt idx="52">
                  <c:v>5.2513800000000002</c:v>
                </c:pt>
                <c:pt idx="53">
                  <c:v>4.8944200000000002</c:v>
                </c:pt>
                <c:pt idx="54">
                  <c:v>4.5324299999999997</c:v>
                </c:pt>
                <c:pt idx="55">
                  <c:v>4.1754699999999998</c:v>
                </c:pt>
                <c:pt idx="56">
                  <c:v>3.8184999999999998</c:v>
                </c:pt>
                <c:pt idx="57">
                  <c:v>3.4565100000000002</c:v>
                </c:pt>
                <c:pt idx="58">
                  <c:v>3.0995499999999998</c:v>
                </c:pt>
                <c:pt idx="59">
                  <c:v>2.7425799999999998</c:v>
                </c:pt>
                <c:pt idx="60">
                  <c:v>2.3856199999999999</c:v>
                </c:pt>
                <c:pt idx="61">
                  <c:v>2.0286599999999999</c:v>
                </c:pt>
                <c:pt idx="62">
                  <c:v>1.6716899999999999</c:v>
                </c:pt>
                <c:pt idx="63">
                  <c:v>1.31473</c:v>
                </c:pt>
                <c:pt idx="64">
                  <c:v>0.95776799999999995</c:v>
                </c:pt>
                <c:pt idx="65">
                  <c:v>0.595777</c:v>
                </c:pt>
                <c:pt idx="66">
                  <c:v>0.238813</c:v>
                </c:pt>
                <c:pt idx="67">
                  <c:v>-8.2956299999999997E-2</c:v>
                </c:pt>
                <c:pt idx="68">
                  <c:v>-0.33936699999999997</c:v>
                </c:pt>
                <c:pt idx="69">
                  <c:v>-0.32428400000000002</c:v>
                </c:pt>
                <c:pt idx="70">
                  <c:v>-0.34942200000000001</c:v>
                </c:pt>
                <c:pt idx="71">
                  <c:v>-0.30417300000000003</c:v>
                </c:pt>
                <c:pt idx="72">
                  <c:v>-0.28406199999999998</c:v>
                </c:pt>
                <c:pt idx="73">
                  <c:v>-0.19356499999999999</c:v>
                </c:pt>
                <c:pt idx="74">
                  <c:v>-0.66616399999999998</c:v>
                </c:pt>
                <c:pt idx="75">
                  <c:v>-1.25691E-2</c:v>
                </c:pt>
                <c:pt idx="76">
                  <c:v>-0.62091499999999999</c:v>
                </c:pt>
                <c:pt idx="77">
                  <c:v>-0.721468</c:v>
                </c:pt>
                <c:pt idx="78">
                  <c:v>-0.70638500000000004</c:v>
                </c:pt>
                <c:pt idx="79">
                  <c:v>-0.65108100000000002</c:v>
                </c:pt>
                <c:pt idx="80">
                  <c:v>-0.54047299999999998</c:v>
                </c:pt>
                <c:pt idx="81">
                  <c:v>-0.32931100000000002</c:v>
                </c:pt>
                <c:pt idx="82">
                  <c:v>-5.2790299999999998E-2</c:v>
                </c:pt>
                <c:pt idx="83">
                  <c:v>0.23378599999999999</c:v>
                </c:pt>
                <c:pt idx="84">
                  <c:v>0.50527900000000003</c:v>
                </c:pt>
                <c:pt idx="85">
                  <c:v>0.68124700000000005</c:v>
                </c:pt>
                <c:pt idx="86">
                  <c:v>0.67621900000000001</c:v>
                </c:pt>
                <c:pt idx="87">
                  <c:v>0.495224</c:v>
                </c:pt>
                <c:pt idx="88">
                  <c:v>0.22373100000000001</c:v>
                </c:pt>
                <c:pt idx="89">
                  <c:v>-7.5414799999999997E-3</c:v>
                </c:pt>
                <c:pt idx="90">
                  <c:v>-0.11815000000000001</c:v>
                </c:pt>
                <c:pt idx="91">
                  <c:v>-0.18350900000000001</c:v>
                </c:pt>
                <c:pt idx="92">
                  <c:v>-0.34942200000000001</c:v>
                </c:pt>
                <c:pt idx="93">
                  <c:v>-0.434892</c:v>
                </c:pt>
                <c:pt idx="94">
                  <c:v>0.37958799999999998</c:v>
                </c:pt>
                <c:pt idx="95">
                  <c:v>0.38461499999999998</c:v>
                </c:pt>
                <c:pt idx="96">
                  <c:v>0.35947699999999999</c:v>
                </c:pt>
                <c:pt idx="97">
                  <c:v>0.33936699999999997</c:v>
                </c:pt>
                <c:pt idx="98">
                  <c:v>0.38461499999999998</c:v>
                </c:pt>
                <c:pt idx="99">
                  <c:v>0.54549999999999998</c:v>
                </c:pt>
                <c:pt idx="100">
                  <c:v>0.79688300000000001</c:v>
                </c:pt>
                <c:pt idx="101">
                  <c:v>1.07843</c:v>
                </c:pt>
                <c:pt idx="102">
                  <c:v>1.3298099999999999</c:v>
                </c:pt>
                <c:pt idx="103">
                  <c:v>1.5208600000000001</c:v>
                </c:pt>
                <c:pt idx="104">
                  <c:v>1.6566099999999999</c:v>
                </c:pt>
                <c:pt idx="105">
                  <c:v>1.81247</c:v>
                </c:pt>
                <c:pt idx="106">
                  <c:v>2.06385</c:v>
                </c:pt>
                <c:pt idx="107">
                  <c:v>0.25389600000000001</c:v>
                </c:pt>
                <c:pt idx="108">
                  <c:v>8.2956299999999997E-2</c:v>
                </c:pt>
                <c:pt idx="109">
                  <c:v>-9.30116E-2</c:v>
                </c:pt>
                <c:pt idx="110">
                  <c:v>-0.26897900000000002</c:v>
                </c:pt>
                <c:pt idx="111">
                  <c:v>1.2192099999999999</c:v>
                </c:pt>
                <c:pt idx="112">
                  <c:v>0.942685</c:v>
                </c:pt>
                <c:pt idx="113">
                  <c:v>0.61588699999999996</c:v>
                </c:pt>
                <c:pt idx="114">
                  <c:v>0.34942200000000001</c:v>
                </c:pt>
                <c:pt idx="115">
                  <c:v>0.18350900000000001</c:v>
                </c:pt>
                <c:pt idx="116">
                  <c:v>2.2624399999999999E-2</c:v>
                </c:pt>
                <c:pt idx="117">
                  <c:v>-0.213675</c:v>
                </c:pt>
                <c:pt idx="118">
                  <c:v>-0.52036199999999999</c:v>
                </c:pt>
                <c:pt idx="119">
                  <c:v>-0.84213199999999999</c:v>
                </c:pt>
                <c:pt idx="120">
                  <c:v>-1.1287100000000001</c:v>
                </c:pt>
                <c:pt idx="121">
                  <c:v>-1.3750599999999999</c:v>
                </c:pt>
                <c:pt idx="122">
                  <c:v>-1.5811999999999999</c:v>
                </c:pt>
                <c:pt idx="123">
                  <c:v>-1.7018599999999999</c:v>
                </c:pt>
                <c:pt idx="124">
                  <c:v>-1.6666700000000001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3B-4A76-A1AD-B6E1BAFD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62944"/>
        <c:axId val="1505564384"/>
      </c:scatterChart>
      <c:catAx>
        <c:axId val="150556294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5F5F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5564384"/>
        <c:crossesAt val="-5"/>
        <c:auto val="1"/>
        <c:lblAlgn val="ctr"/>
        <c:lblOffset val="100"/>
        <c:tickMarkSkip val="10"/>
        <c:noMultiLvlLbl val="0"/>
      </c:catAx>
      <c:valAx>
        <c:axId val="1505564384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5F5F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55629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5F5F2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248861666960648E-2"/>
          <c:y val="0.27030768968163033"/>
          <c:w val="0.95948133260541069"/>
          <c:h val="0.63838112098771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比率折线图!$H$3</c:f>
              <c:strCache>
                <c:ptCount val="1"/>
                <c:pt idx="0">
                  <c:v>London</c:v>
                </c:pt>
              </c:strCache>
            </c:strRef>
          </c:tx>
          <c:spPr>
            <a:ln w="38100" cap="rnd">
              <a:solidFill>
                <a:srgbClr val="2C3E50"/>
              </a:solidFill>
              <a:round/>
            </a:ln>
            <a:effectLst/>
          </c:spPr>
          <c:marker>
            <c:symbol val="none"/>
          </c:marker>
          <c:xVal>
            <c:numRef>
              <c:f>比率折线图!$G$4:$G$58</c:f>
              <c:numCache>
                <c:formatCode>General</c:formatCode>
                <c:ptCount val="55"/>
                <c:pt idx="0">
                  <c:v>2005.03</c:v>
                </c:pt>
                <c:pt idx="1">
                  <c:v>2005.39</c:v>
                </c:pt>
                <c:pt idx="2">
                  <c:v>2005.56</c:v>
                </c:pt>
                <c:pt idx="3">
                  <c:v>2005.74</c:v>
                </c:pt>
                <c:pt idx="4">
                  <c:v>2006.67</c:v>
                </c:pt>
                <c:pt idx="5">
                  <c:v>2006.86</c:v>
                </c:pt>
                <c:pt idx="6">
                  <c:v>2007.06</c:v>
                </c:pt>
                <c:pt idx="7">
                  <c:v>2007.26</c:v>
                </c:pt>
                <c:pt idx="8">
                  <c:v>2007.46</c:v>
                </c:pt>
                <c:pt idx="9">
                  <c:v>2007.65</c:v>
                </c:pt>
                <c:pt idx="10">
                  <c:v>2007.85</c:v>
                </c:pt>
                <c:pt idx="11">
                  <c:v>2008.05</c:v>
                </c:pt>
                <c:pt idx="12">
                  <c:v>2008.25</c:v>
                </c:pt>
                <c:pt idx="13">
                  <c:v>2009.05</c:v>
                </c:pt>
                <c:pt idx="14">
                  <c:v>2009.45</c:v>
                </c:pt>
                <c:pt idx="15">
                  <c:v>2009.65</c:v>
                </c:pt>
                <c:pt idx="16">
                  <c:v>2009.84</c:v>
                </c:pt>
                <c:pt idx="17">
                  <c:v>2010.21</c:v>
                </c:pt>
                <c:pt idx="18">
                  <c:v>2010.47</c:v>
                </c:pt>
                <c:pt idx="19">
                  <c:v>2010.62</c:v>
                </c:pt>
                <c:pt idx="20">
                  <c:v>2010.74</c:v>
                </c:pt>
                <c:pt idx="21">
                  <c:v>2010.87</c:v>
                </c:pt>
                <c:pt idx="22">
                  <c:v>2011.02</c:v>
                </c:pt>
                <c:pt idx="23">
                  <c:v>2011.19</c:v>
                </c:pt>
                <c:pt idx="24">
                  <c:v>2011.38</c:v>
                </c:pt>
                <c:pt idx="25">
                  <c:v>2011.56</c:v>
                </c:pt>
                <c:pt idx="26">
                  <c:v>2011.75</c:v>
                </c:pt>
                <c:pt idx="27">
                  <c:v>2011.94</c:v>
                </c:pt>
                <c:pt idx="28">
                  <c:v>2012.14</c:v>
                </c:pt>
                <c:pt idx="29">
                  <c:v>2012.34</c:v>
                </c:pt>
                <c:pt idx="30">
                  <c:v>2012.55</c:v>
                </c:pt>
                <c:pt idx="31">
                  <c:v>2012.75</c:v>
                </c:pt>
                <c:pt idx="32">
                  <c:v>2012.95</c:v>
                </c:pt>
                <c:pt idx="33">
                  <c:v>2013.15</c:v>
                </c:pt>
                <c:pt idx="34">
                  <c:v>2013.35</c:v>
                </c:pt>
                <c:pt idx="35">
                  <c:v>2013.55</c:v>
                </c:pt>
                <c:pt idx="36">
                  <c:v>2013.75</c:v>
                </c:pt>
                <c:pt idx="37">
                  <c:v>2013.95</c:v>
                </c:pt>
                <c:pt idx="38">
                  <c:v>2014.15</c:v>
                </c:pt>
                <c:pt idx="39">
                  <c:v>2014.34</c:v>
                </c:pt>
                <c:pt idx="40">
                  <c:v>2014.52</c:v>
                </c:pt>
                <c:pt idx="41">
                  <c:v>2014.71</c:v>
                </c:pt>
                <c:pt idx="42">
                  <c:v>2014.89</c:v>
                </c:pt>
                <c:pt idx="43">
                  <c:v>2015.06</c:v>
                </c:pt>
                <c:pt idx="44">
                  <c:v>2015.21</c:v>
                </c:pt>
                <c:pt idx="45">
                  <c:v>2015.34</c:v>
                </c:pt>
                <c:pt idx="46">
                  <c:v>2015.48</c:v>
                </c:pt>
                <c:pt idx="47">
                  <c:v>2015.62</c:v>
                </c:pt>
                <c:pt idx="48">
                  <c:v>2015.77</c:v>
                </c:pt>
                <c:pt idx="49">
                  <c:v>2015.94</c:v>
                </c:pt>
                <c:pt idx="50">
                  <c:v>2016.12</c:v>
                </c:pt>
                <c:pt idx="51">
                  <c:v>2016.31</c:v>
                </c:pt>
                <c:pt idx="52">
                  <c:v>2016.5</c:v>
                </c:pt>
                <c:pt idx="53">
                  <c:v>2016.69</c:v>
                </c:pt>
                <c:pt idx="54">
                  <c:v>2016.88</c:v>
                </c:pt>
              </c:numCache>
            </c:numRef>
          </c:xVal>
          <c:yVal>
            <c:numRef>
              <c:f>比率折线图!$H$4:$H$58</c:f>
              <c:numCache>
                <c:formatCode>General</c:formatCode>
                <c:ptCount val="55"/>
                <c:pt idx="0">
                  <c:v>100</c:v>
                </c:pt>
                <c:pt idx="1">
                  <c:v>100.00893717168306</c:v>
                </c:pt>
                <c:pt idx="2">
                  <c:v>100.01290924798664</c:v>
                </c:pt>
                <c:pt idx="3">
                  <c:v>100.01688132429022</c:v>
                </c:pt>
                <c:pt idx="4">
                  <c:v>102.39615503013812</c:v>
                </c:pt>
                <c:pt idx="5">
                  <c:v>103.33555107593615</c:v>
                </c:pt>
                <c:pt idx="6">
                  <c:v>103.90057893012124</c:v>
                </c:pt>
                <c:pt idx="7">
                  <c:v>104.24217749222962</c:v>
                </c:pt>
                <c:pt idx="8">
                  <c:v>104.65825248503023</c:v>
                </c:pt>
                <c:pt idx="9">
                  <c:v>105.07532049690673</c:v>
                </c:pt>
                <c:pt idx="10">
                  <c:v>105.41592603993921</c:v>
                </c:pt>
                <c:pt idx="11">
                  <c:v>105.7575246020476</c:v>
                </c:pt>
                <c:pt idx="12">
                  <c:v>106.17359959484821</c:v>
                </c:pt>
                <c:pt idx="13">
                  <c:v>108.51215951858435</c:v>
                </c:pt>
                <c:pt idx="14">
                  <c:v>107.51218930915662</c:v>
                </c:pt>
                <c:pt idx="15">
                  <c:v>107.17952791873131</c:v>
                </c:pt>
                <c:pt idx="16">
                  <c:v>106.511226080653</c:v>
                </c:pt>
                <c:pt idx="17">
                  <c:v>104.50036245196269</c:v>
                </c:pt>
                <c:pt idx="18">
                  <c:v>99.981132637557963</c:v>
                </c:pt>
                <c:pt idx="19">
                  <c:v>98.226765836171708</c:v>
                </c:pt>
                <c:pt idx="20">
                  <c:v>96.135269058518602</c:v>
                </c:pt>
                <c:pt idx="21">
                  <c:v>94.081308401934393</c:v>
                </c:pt>
                <c:pt idx="22">
                  <c:v>92.327040902455735</c:v>
                </c:pt>
                <c:pt idx="23">
                  <c:v>90.947240896497618</c:v>
                </c:pt>
                <c:pt idx="24">
                  <c:v>89.829697228483752</c:v>
                </c:pt>
                <c:pt idx="25">
                  <c:v>88.786828594977308</c:v>
                </c:pt>
                <c:pt idx="26">
                  <c:v>87.781496082539746</c:v>
                </c:pt>
                <c:pt idx="27">
                  <c:v>87.000685183162361</c:v>
                </c:pt>
                <c:pt idx="28">
                  <c:v>86.556607052421469</c:v>
                </c:pt>
                <c:pt idx="29">
                  <c:v>86.411924173063355</c:v>
                </c:pt>
                <c:pt idx="30">
                  <c:v>86.416690664627652</c:v>
                </c:pt>
                <c:pt idx="31">
                  <c:v>86.458993277260845</c:v>
                </c:pt>
                <c:pt idx="32">
                  <c:v>86.576070226309042</c:v>
                </c:pt>
                <c:pt idx="33">
                  <c:v>86.730484692610929</c:v>
                </c:pt>
                <c:pt idx="34">
                  <c:v>86.997209616396731</c:v>
                </c:pt>
                <c:pt idx="35">
                  <c:v>87.37594709194363</c:v>
                </c:pt>
                <c:pt idx="36">
                  <c:v>87.642572713821835</c:v>
                </c:pt>
                <c:pt idx="37">
                  <c:v>87.53522735171741</c:v>
                </c:pt>
                <c:pt idx="38">
                  <c:v>86.941501246238929</c:v>
                </c:pt>
                <c:pt idx="39">
                  <c:v>86.010943070216371</c:v>
                </c:pt>
                <c:pt idx="40">
                  <c:v>84.968173738617509</c:v>
                </c:pt>
                <c:pt idx="41">
                  <c:v>83.888066889764943</c:v>
                </c:pt>
                <c:pt idx="42">
                  <c:v>82.695649583428491</c:v>
                </c:pt>
                <c:pt idx="43">
                  <c:v>81.278412758309088</c:v>
                </c:pt>
                <c:pt idx="44">
                  <c:v>79.486609137761533</c:v>
                </c:pt>
                <c:pt idx="45">
                  <c:v>77.50752211949991</c:v>
                </c:pt>
                <c:pt idx="46">
                  <c:v>75.528534403145883</c:v>
                </c:pt>
                <c:pt idx="47">
                  <c:v>73.549645988699439</c:v>
                </c:pt>
                <c:pt idx="48">
                  <c:v>71.608293695321876</c:v>
                </c:pt>
                <c:pt idx="49">
                  <c:v>70.228493689363773</c:v>
                </c:pt>
                <c:pt idx="50">
                  <c:v>69.896328808476397</c:v>
                </c:pt>
                <c:pt idx="51">
                  <c:v>70.461952474107022</c:v>
                </c:pt>
                <c:pt idx="52">
                  <c:v>71.438983942881535</c:v>
                </c:pt>
                <c:pt idx="53">
                  <c:v>72.490690446163455</c:v>
                </c:pt>
                <c:pt idx="54">
                  <c:v>73.318173242107974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BB-4DCA-A7E1-EE307A5085C0}"/>
            </c:ext>
          </c:extLst>
        </c:ser>
        <c:ser>
          <c:idx val="1"/>
          <c:order val="1"/>
          <c:tx>
            <c:strRef>
              <c:f>比率折线图!$I$3</c:f>
              <c:strCache>
                <c:ptCount val="1"/>
                <c:pt idx="0">
                  <c:v>Manchester</c:v>
                </c:pt>
              </c:strCache>
            </c:strRef>
          </c:tx>
          <c:spPr>
            <a:ln w="38100" cap="rnd">
              <a:solidFill>
                <a:srgbClr val="B71C1C"/>
              </a:solidFill>
              <a:round/>
            </a:ln>
            <a:effectLst/>
          </c:spPr>
          <c:marker>
            <c:symbol val="none"/>
          </c:marker>
          <c:xVal>
            <c:numRef>
              <c:f>比率折线图!$G$4:$G$58</c:f>
              <c:numCache>
                <c:formatCode>General</c:formatCode>
                <c:ptCount val="55"/>
                <c:pt idx="0">
                  <c:v>2005.03</c:v>
                </c:pt>
                <c:pt idx="1">
                  <c:v>2005.39</c:v>
                </c:pt>
                <c:pt idx="2">
                  <c:v>2005.56</c:v>
                </c:pt>
                <c:pt idx="3">
                  <c:v>2005.74</c:v>
                </c:pt>
                <c:pt idx="4">
                  <c:v>2006.67</c:v>
                </c:pt>
                <c:pt idx="5">
                  <c:v>2006.86</c:v>
                </c:pt>
                <c:pt idx="6">
                  <c:v>2007.06</c:v>
                </c:pt>
                <c:pt idx="7">
                  <c:v>2007.26</c:v>
                </c:pt>
                <c:pt idx="8">
                  <c:v>2007.46</c:v>
                </c:pt>
                <c:pt idx="9">
                  <c:v>2007.65</c:v>
                </c:pt>
                <c:pt idx="10">
                  <c:v>2007.85</c:v>
                </c:pt>
                <c:pt idx="11">
                  <c:v>2008.05</c:v>
                </c:pt>
                <c:pt idx="12">
                  <c:v>2008.25</c:v>
                </c:pt>
                <c:pt idx="13">
                  <c:v>2009.05</c:v>
                </c:pt>
                <c:pt idx="14">
                  <c:v>2009.45</c:v>
                </c:pt>
                <c:pt idx="15">
                  <c:v>2009.65</c:v>
                </c:pt>
                <c:pt idx="16">
                  <c:v>2009.84</c:v>
                </c:pt>
                <c:pt idx="17">
                  <c:v>2010.21</c:v>
                </c:pt>
                <c:pt idx="18">
                  <c:v>2010.47</c:v>
                </c:pt>
                <c:pt idx="19">
                  <c:v>2010.62</c:v>
                </c:pt>
                <c:pt idx="20">
                  <c:v>2010.74</c:v>
                </c:pt>
                <c:pt idx="21">
                  <c:v>2010.87</c:v>
                </c:pt>
                <c:pt idx="22">
                  <c:v>2011.02</c:v>
                </c:pt>
                <c:pt idx="23">
                  <c:v>2011.19</c:v>
                </c:pt>
                <c:pt idx="24">
                  <c:v>2011.38</c:v>
                </c:pt>
                <c:pt idx="25">
                  <c:v>2011.56</c:v>
                </c:pt>
                <c:pt idx="26">
                  <c:v>2011.75</c:v>
                </c:pt>
                <c:pt idx="27">
                  <c:v>2011.94</c:v>
                </c:pt>
                <c:pt idx="28">
                  <c:v>2012.14</c:v>
                </c:pt>
                <c:pt idx="29">
                  <c:v>2012.34</c:v>
                </c:pt>
                <c:pt idx="30">
                  <c:v>2012.55</c:v>
                </c:pt>
                <c:pt idx="31">
                  <c:v>2012.75</c:v>
                </c:pt>
                <c:pt idx="32">
                  <c:v>2012.95</c:v>
                </c:pt>
                <c:pt idx="33">
                  <c:v>2013.15</c:v>
                </c:pt>
                <c:pt idx="34">
                  <c:v>2013.35</c:v>
                </c:pt>
                <c:pt idx="35">
                  <c:v>2013.55</c:v>
                </c:pt>
                <c:pt idx="36">
                  <c:v>2013.75</c:v>
                </c:pt>
                <c:pt idx="37">
                  <c:v>2013.95</c:v>
                </c:pt>
                <c:pt idx="38">
                  <c:v>2014.15</c:v>
                </c:pt>
                <c:pt idx="39">
                  <c:v>2014.34</c:v>
                </c:pt>
                <c:pt idx="40">
                  <c:v>2014.52</c:v>
                </c:pt>
                <c:pt idx="41">
                  <c:v>2014.71</c:v>
                </c:pt>
                <c:pt idx="42">
                  <c:v>2014.89</c:v>
                </c:pt>
                <c:pt idx="43">
                  <c:v>2015.06</c:v>
                </c:pt>
                <c:pt idx="44">
                  <c:v>2015.21</c:v>
                </c:pt>
                <c:pt idx="45">
                  <c:v>2015.34</c:v>
                </c:pt>
                <c:pt idx="46">
                  <c:v>2015.48</c:v>
                </c:pt>
                <c:pt idx="47">
                  <c:v>2015.62</c:v>
                </c:pt>
                <c:pt idx="48">
                  <c:v>2015.77</c:v>
                </c:pt>
                <c:pt idx="49">
                  <c:v>2015.94</c:v>
                </c:pt>
                <c:pt idx="50">
                  <c:v>2016.12</c:v>
                </c:pt>
                <c:pt idx="51">
                  <c:v>2016.31</c:v>
                </c:pt>
                <c:pt idx="52">
                  <c:v>2016.5</c:v>
                </c:pt>
                <c:pt idx="53">
                  <c:v>2016.69</c:v>
                </c:pt>
                <c:pt idx="54">
                  <c:v>2016.88</c:v>
                </c:pt>
              </c:numCache>
            </c:numRef>
          </c:xVal>
          <c:yVal>
            <c:numRef>
              <c:f>比率折线图!$I$4:$I$58</c:f>
              <c:numCache>
                <c:formatCode>General</c:formatCode>
                <c:ptCount val="55"/>
                <c:pt idx="0">
                  <c:v>100.00000000000001</c:v>
                </c:pt>
                <c:pt idx="1">
                  <c:v>99.778845481515532</c:v>
                </c:pt>
                <c:pt idx="2">
                  <c:v>99.670865339473181</c:v>
                </c:pt>
                <c:pt idx="3">
                  <c:v>99.863851125250974</c:v>
                </c:pt>
                <c:pt idx="4">
                  <c:v>100.39556092737062</c:v>
                </c:pt>
                <c:pt idx="5">
                  <c:v>101.03984577119398</c:v>
                </c:pt>
                <c:pt idx="6">
                  <c:v>101.60921377271229</c:v>
                </c:pt>
                <c:pt idx="7">
                  <c:v>102.14062390746273</c:v>
                </c:pt>
                <c:pt idx="8">
                  <c:v>102.63407617544527</c:v>
                </c:pt>
                <c:pt idx="9">
                  <c:v>103.0156526255856</c:v>
                </c:pt>
                <c:pt idx="10">
                  <c:v>103.2453976086544</c:v>
                </c:pt>
                <c:pt idx="11">
                  <c:v>103.28834993157597</c:v>
                </c:pt>
                <c:pt idx="12">
                  <c:v>103.36826123003468</c:v>
                </c:pt>
                <c:pt idx="13">
                  <c:v>103.74983768017501</c:v>
                </c:pt>
                <c:pt idx="14">
                  <c:v>104.43108149953552</c:v>
                </c:pt>
                <c:pt idx="15">
                  <c:v>105.30111576150475</c:v>
                </c:pt>
                <c:pt idx="16">
                  <c:v>106.28402473254688</c:v>
                </c:pt>
                <c:pt idx="17">
                  <c:v>107.22897583682114</c:v>
                </c:pt>
                <c:pt idx="18">
                  <c:v>107.76038597157155</c:v>
                </c:pt>
                <c:pt idx="19">
                  <c:v>107.61454785188441</c:v>
                </c:pt>
                <c:pt idx="20">
                  <c:v>106.94229405360052</c:v>
                </c:pt>
                <c:pt idx="21">
                  <c:v>106.11920767947578</c:v>
                </c:pt>
                <c:pt idx="22">
                  <c:v>105.33407917211895</c:v>
                </c:pt>
                <c:pt idx="23">
                  <c:v>104.66182537383506</c:v>
                </c:pt>
                <c:pt idx="24">
                  <c:v>104.21432210246627</c:v>
                </c:pt>
                <c:pt idx="25">
                  <c:v>103.99356714047407</c:v>
                </c:pt>
                <c:pt idx="26">
                  <c:v>103.81077004524978</c:v>
                </c:pt>
                <c:pt idx="27">
                  <c:v>103.66493192556263</c:v>
                </c:pt>
                <c:pt idx="28">
                  <c:v>103.40621909680256</c:v>
                </c:pt>
                <c:pt idx="29">
                  <c:v>103.03463155896955</c:v>
                </c:pt>
                <c:pt idx="30">
                  <c:v>102.55116820329435</c:v>
                </c:pt>
                <c:pt idx="31">
                  <c:v>102.14162279869345</c:v>
                </c:pt>
                <c:pt idx="32">
                  <c:v>101.80799312762835</c:v>
                </c:pt>
                <c:pt idx="33">
                  <c:v>101.51132243210037</c:v>
                </c:pt>
                <c:pt idx="34">
                  <c:v>101.36648320364397</c:v>
                </c:pt>
                <c:pt idx="35">
                  <c:v>101.44639450210266</c:v>
                </c:pt>
                <c:pt idx="36">
                  <c:v>101.6391805096343</c:v>
                </c:pt>
                <c:pt idx="37">
                  <c:v>101.79500754162881</c:v>
                </c:pt>
                <c:pt idx="38">
                  <c:v>101.76204413101458</c:v>
                </c:pt>
                <c:pt idx="39">
                  <c:v>101.54128916902239</c:v>
                </c:pt>
                <c:pt idx="40">
                  <c:v>101.20666060672654</c:v>
                </c:pt>
                <c:pt idx="41">
                  <c:v>100.87303093566142</c:v>
                </c:pt>
                <c:pt idx="42">
                  <c:v>100.57735913136419</c:v>
                </c:pt>
                <c:pt idx="43">
                  <c:v>100.20577159353118</c:v>
                </c:pt>
                <c:pt idx="44">
                  <c:v>99.759267213393144</c:v>
                </c:pt>
                <c:pt idx="45">
                  <c:v>99.237446434457752</c:v>
                </c:pt>
                <c:pt idx="46">
                  <c:v>98.640209367601969</c:v>
                </c:pt>
                <c:pt idx="47">
                  <c:v>98.118288699543513</c:v>
                </c:pt>
                <c:pt idx="48">
                  <c:v>97.709242740557983</c:v>
                </c:pt>
                <c:pt idx="49">
                  <c:v>97.413071490645379</c:v>
                </c:pt>
                <c:pt idx="50">
                  <c:v>97.229774949805716</c:v>
                </c:pt>
                <c:pt idx="51">
                  <c:v>97.084236497487794</c:v>
                </c:pt>
                <c:pt idx="52">
                  <c:v>96.863281757249453</c:v>
                </c:pt>
                <c:pt idx="53">
                  <c:v>96.529552197061278</c:v>
                </c:pt>
                <c:pt idx="54">
                  <c:v>96.082848038677071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BB-4DCA-A7E1-EE307A5085C0}"/>
            </c:ext>
          </c:extLst>
        </c:ser>
        <c:ser>
          <c:idx val="2"/>
          <c:order val="2"/>
          <c:tx>
            <c:strRef>
              <c:f>比率折线图!$J$3</c:f>
              <c:strCache>
                <c:ptCount val="1"/>
                <c:pt idx="0">
                  <c:v>Rest of England</c:v>
                </c:pt>
              </c:strCache>
            </c:strRef>
          </c:tx>
          <c:spPr>
            <a:ln w="38100" cap="rnd">
              <a:solidFill>
                <a:srgbClr val="8E24AA"/>
              </a:solidFill>
              <a:round/>
            </a:ln>
            <a:effectLst/>
          </c:spPr>
          <c:marker>
            <c:symbol val="none"/>
          </c:marker>
          <c:xVal>
            <c:numRef>
              <c:f>比率折线图!$G$4:$G$58</c:f>
              <c:numCache>
                <c:formatCode>General</c:formatCode>
                <c:ptCount val="55"/>
                <c:pt idx="0">
                  <c:v>2005.03</c:v>
                </c:pt>
                <c:pt idx="1">
                  <c:v>2005.39</c:v>
                </c:pt>
                <c:pt idx="2">
                  <c:v>2005.56</c:v>
                </c:pt>
                <c:pt idx="3">
                  <c:v>2005.74</c:v>
                </c:pt>
                <c:pt idx="4">
                  <c:v>2006.67</c:v>
                </c:pt>
                <c:pt idx="5">
                  <c:v>2006.86</c:v>
                </c:pt>
                <c:pt idx="6">
                  <c:v>2007.06</c:v>
                </c:pt>
                <c:pt idx="7">
                  <c:v>2007.26</c:v>
                </c:pt>
                <c:pt idx="8">
                  <c:v>2007.46</c:v>
                </c:pt>
                <c:pt idx="9">
                  <c:v>2007.65</c:v>
                </c:pt>
                <c:pt idx="10">
                  <c:v>2007.85</c:v>
                </c:pt>
                <c:pt idx="11">
                  <c:v>2008.05</c:v>
                </c:pt>
                <c:pt idx="12">
                  <c:v>2008.25</c:v>
                </c:pt>
                <c:pt idx="13">
                  <c:v>2009.05</c:v>
                </c:pt>
                <c:pt idx="14">
                  <c:v>2009.45</c:v>
                </c:pt>
                <c:pt idx="15">
                  <c:v>2009.65</c:v>
                </c:pt>
                <c:pt idx="16">
                  <c:v>2009.84</c:v>
                </c:pt>
                <c:pt idx="17">
                  <c:v>2010.21</c:v>
                </c:pt>
                <c:pt idx="18">
                  <c:v>2010.47</c:v>
                </c:pt>
                <c:pt idx="19">
                  <c:v>2010.62</c:v>
                </c:pt>
                <c:pt idx="20">
                  <c:v>2010.74</c:v>
                </c:pt>
                <c:pt idx="21">
                  <c:v>2010.87</c:v>
                </c:pt>
                <c:pt idx="22">
                  <c:v>2011.02</c:v>
                </c:pt>
                <c:pt idx="23">
                  <c:v>2011.19</c:v>
                </c:pt>
                <c:pt idx="24">
                  <c:v>2011.38</c:v>
                </c:pt>
                <c:pt idx="25">
                  <c:v>2011.56</c:v>
                </c:pt>
                <c:pt idx="26">
                  <c:v>2011.75</c:v>
                </c:pt>
                <c:pt idx="27">
                  <c:v>2011.94</c:v>
                </c:pt>
                <c:pt idx="28">
                  <c:v>2012.14</c:v>
                </c:pt>
                <c:pt idx="29">
                  <c:v>2012.34</c:v>
                </c:pt>
                <c:pt idx="30">
                  <c:v>2012.55</c:v>
                </c:pt>
                <c:pt idx="31">
                  <c:v>2012.75</c:v>
                </c:pt>
                <c:pt idx="32">
                  <c:v>2012.95</c:v>
                </c:pt>
                <c:pt idx="33">
                  <c:v>2013.15</c:v>
                </c:pt>
                <c:pt idx="34">
                  <c:v>2013.35</c:v>
                </c:pt>
                <c:pt idx="35">
                  <c:v>2013.55</c:v>
                </c:pt>
                <c:pt idx="36">
                  <c:v>2013.75</c:v>
                </c:pt>
                <c:pt idx="37">
                  <c:v>2013.95</c:v>
                </c:pt>
                <c:pt idx="38">
                  <c:v>2014.15</c:v>
                </c:pt>
                <c:pt idx="39">
                  <c:v>2014.34</c:v>
                </c:pt>
                <c:pt idx="40">
                  <c:v>2014.52</c:v>
                </c:pt>
                <c:pt idx="41">
                  <c:v>2014.71</c:v>
                </c:pt>
                <c:pt idx="42">
                  <c:v>2014.89</c:v>
                </c:pt>
                <c:pt idx="43">
                  <c:v>2015.06</c:v>
                </c:pt>
                <c:pt idx="44">
                  <c:v>2015.21</c:v>
                </c:pt>
                <c:pt idx="45">
                  <c:v>2015.34</c:v>
                </c:pt>
                <c:pt idx="46">
                  <c:v>2015.48</c:v>
                </c:pt>
                <c:pt idx="47">
                  <c:v>2015.62</c:v>
                </c:pt>
                <c:pt idx="48">
                  <c:v>2015.77</c:v>
                </c:pt>
                <c:pt idx="49">
                  <c:v>2015.94</c:v>
                </c:pt>
                <c:pt idx="50">
                  <c:v>2016.12</c:v>
                </c:pt>
                <c:pt idx="51">
                  <c:v>2016.31</c:v>
                </c:pt>
                <c:pt idx="52">
                  <c:v>2016.5</c:v>
                </c:pt>
                <c:pt idx="53">
                  <c:v>2016.69</c:v>
                </c:pt>
                <c:pt idx="54">
                  <c:v>2016.88</c:v>
                </c:pt>
              </c:numCache>
            </c:numRef>
          </c:xVal>
          <c:yVal>
            <c:numRef>
              <c:f>比率折线图!$J$4:$J$58</c:f>
              <c:numCache>
                <c:formatCode>General</c:formatCode>
                <c:ptCount val="55"/>
                <c:pt idx="0">
                  <c:v>100</c:v>
                </c:pt>
                <c:pt idx="1">
                  <c:v>100.70412893383144</c:v>
                </c:pt>
                <c:pt idx="2">
                  <c:v>101.44542022805953</c:v>
                </c:pt>
                <c:pt idx="3">
                  <c:v>102.26103624308095</c:v>
                </c:pt>
                <c:pt idx="4">
                  <c:v>103.18618342558726</c:v>
                </c:pt>
                <c:pt idx="5">
                  <c:v>104.25900209282766</c:v>
                </c:pt>
                <c:pt idx="6">
                  <c:v>105.36800516361218</c:v>
                </c:pt>
                <c:pt idx="7">
                  <c:v>106.55133295519002</c:v>
                </c:pt>
                <c:pt idx="8">
                  <c:v>107.69749838637119</c:v>
                </c:pt>
                <c:pt idx="9">
                  <c:v>108.84366381755237</c:v>
                </c:pt>
                <c:pt idx="10">
                  <c:v>110.1365227766151</c:v>
                </c:pt>
                <c:pt idx="11">
                  <c:v>111.61421558080858</c:v>
                </c:pt>
                <c:pt idx="12">
                  <c:v>113.16525514894282</c:v>
                </c:pt>
                <c:pt idx="13">
                  <c:v>114.71629471707709</c:v>
                </c:pt>
                <c:pt idx="14">
                  <c:v>116.23017192481467</c:v>
                </c:pt>
                <c:pt idx="15">
                  <c:v>117.56019324427406</c:v>
                </c:pt>
                <c:pt idx="16">
                  <c:v>118.59584955111781</c:v>
                </c:pt>
                <c:pt idx="17">
                  <c:v>119.37430320574256</c:v>
                </c:pt>
                <c:pt idx="18">
                  <c:v>120.07843213957401</c:v>
                </c:pt>
                <c:pt idx="19">
                  <c:v>120.74637666986133</c:v>
                </c:pt>
                <c:pt idx="20">
                  <c:v>121.30381207581121</c:v>
                </c:pt>
                <c:pt idx="21">
                  <c:v>121.67641363663034</c:v>
                </c:pt>
                <c:pt idx="22">
                  <c:v>121.86515930917128</c:v>
                </c:pt>
                <c:pt idx="23">
                  <c:v>121.98055821777143</c:v>
                </c:pt>
                <c:pt idx="24">
                  <c:v>122.09595712637159</c:v>
                </c:pt>
                <c:pt idx="25">
                  <c:v>122.24851839536841</c:v>
                </c:pt>
                <c:pt idx="26">
                  <c:v>122.5106108318501</c:v>
                </c:pt>
                <c:pt idx="27">
                  <c:v>122.84702798912512</c:v>
                </c:pt>
                <c:pt idx="28">
                  <c:v>123.18344514640013</c:v>
                </c:pt>
                <c:pt idx="29">
                  <c:v>123.4826999432785</c:v>
                </c:pt>
                <c:pt idx="30">
                  <c:v>123.8924638644943</c:v>
                </c:pt>
                <c:pt idx="31">
                  <c:v>124.41273691004753</c:v>
                </c:pt>
                <c:pt idx="32">
                  <c:v>125.00733467639408</c:v>
                </c:pt>
                <c:pt idx="33">
                  <c:v>125.63811684628475</c:v>
                </c:pt>
                <c:pt idx="34">
                  <c:v>126.23173665577875</c:v>
                </c:pt>
                <c:pt idx="35">
                  <c:v>126.64150057699455</c:v>
                </c:pt>
                <c:pt idx="36">
                  <c:v>126.79406184599134</c:v>
                </c:pt>
                <c:pt idx="37">
                  <c:v>126.76178926985742</c:v>
                </c:pt>
                <c:pt idx="38">
                  <c:v>126.65616992978269</c:v>
                </c:pt>
                <c:pt idx="39">
                  <c:v>126.51338822931133</c:v>
                </c:pt>
                <c:pt idx="40">
                  <c:v>126.59162477751481</c:v>
                </c:pt>
                <c:pt idx="41">
                  <c:v>127.07571341952392</c:v>
                </c:pt>
                <c:pt idx="42">
                  <c:v>127.81700471375204</c:v>
                </c:pt>
                <c:pt idx="43">
                  <c:v>128.63164277192089</c:v>
                </c:pt>
                <c:pt idx="44">
                  <c:v>129.41009642654566</c:v>
                </c:pt>
                <c:pt idx="45">
                  <c:v>129.85604475130555</c:v>
                </c:pt>
                <c:pt idx="46">
                  <c:v>129.97144365990573</c:v>
                </c:pt>
                <c:pt idx="47">
                  <c:v>129.82866195943436</c:v>
                </c:pt>
                <c:pt idx="48">
                  <c:v>129.61253349502218</c:v>
                </c:pt>
                <c:pt idx="49">
                  <c:v>129.36022062706596</c:v>
                </c:pt>
                <c:pt idx="50">
                  <c:v>129.0326050814638</c:v>
                </c:pt>
                <c:pt idx="51">
                  <c:v>128.48494924403934</c:v>
                </c:pt>
                <c:pt idx="52">
                  <c:v>127.71627515794003</c:v>
                </c:pt>
                <c:pt idx="53">
                  <c:v>126.91043871144404</c:v>
                </c:pt>
                <c:pt idx="54">
                  <c:v>126.14176462534475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BB-4DCA-A7E1-EE307A508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61712"/>
        <c:axId val="1152360752"/>
      </c:scatterChart>
      <c:scatterChart>
        <c:scatterStyle val="lineMarker"/>
        <c:varyColors val="0"/>
        <c:ser>
          <c:idx val="3"/>
          <c:order val="3"/>
          <c:tx>
            <c:strRef>
              <c:f>比率折线图!$K$7</c:f>
              <c:strCache>
                <c:ptCount val="1"/>
                <c:pt idx="0">
                  <c:v>lengh_errorbar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50"/>
            <c:spPr>
              <a:noFill/>
              <a:ln w="25400" cap="flat" cmpd="sng" algn="ctr">
                <a:solidFill>
                  <a:srgbClr val="FF0000">
                    <a:alpha val="50000"/>
                  </a:srgbClr>
                </a:solidFill>
                <a:round/>
              </a:ln>
              <a:effectLst/>
            </c:spPr>
          </c:errBars>
          <c:xVal>
            <c:numRef>
              <c:f>比率折线图!$K$4</c:f>
              <c:numCache>
                <c:formatCode>General</c:formatCode>
                <c:ptCount val="1"/>
                <c:pt idx="0">
                  <c:v>2005.03</c:v>
                </c:pt>
              </c:numCache>
            </c:numRef>
          </c:xVal>
          <c:yVal>
            <c:numRef>
              <c:f>比率折线图!$K$6</c:f>
              <c:numCache>
                <c:formatCode>General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BB-4DCA-A7E1-EE307A5085C0}"/>
            </c:ext>
          </c:extLst>
        </c:ser>
        <c:ser>
          <c:idx val="4"/>
          <c:order val="4"/>
          <c:tx>
            <c:strRef>
              <c:f>比率折线图!$L$3</c:f>
              <c:strCache>
                <c:ptCount val="1"/>
                <c:pt idx="0">
                  <c:v>series+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E3C5015-062B-418E-841A-562E1358DDD3}" type="CELLRANGE">
                      <a:rPr lang="en-US" altLang="zh-CN"/>
                      <a:pPr>
                        <a:defRPr sz="180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rgbClr val="BDC3C7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BBB-4DCA-A7E1-EE307A5085C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724EBD1-8994-4B58-A4AF-BAF2058678FB}" type="CELLRANGE">
                      <a:rPr lang="zh-CN" altLang="en-US"/>
                      <a:pPr>
                        <a:defRPr sz="180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rgbClr val="BDC3C7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BBB-4DCA-A7E1-EE307A5085C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9820CD-EDE3-4EB6-971C-0071A8B8CF9C}" type="CELLRANGE">
                      <a:rPr lang="zh-CN" altLang="en-US"/>
                      <a:pPr>
                        <a:defRPr sz="180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rgbClr val="BDC3C7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BBB-4DCA-A7E1-EE307A5085C0}"/>
                </c:ext>
              </c:extLst>
            </c:dLbl>
            <c:spPr>
              <a:solidFill>
                <a:srgbClr val="DACA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比率折线图!$M$4:$M$6</c:f>
              <c:numCache>
                <c:formatCode>General</c:formatCode>
                <c:ptCount val="3"/>
                <c:pt idx="0">
                  <c:v>2017.88</c:v>
                </c:pt>
                <c:pt idx="1">
                  <c:v>2017.88</c:v>
                </c:pt>
                <c:pt idx="2">
                  <c:v>2017.88</c:v>
                </c:pt>
              </c:numCache>
            </c:numRef>
          </c:xVal>
          <c:yVal>
            <c:numRef>
              <c:f>比率折线图!$N$4:$N$6</c:f>
              <c:numCache>
                <c:formatCode>General</c:formatCode>
                <c:ptCount val="3"/>
                <c:pt idx="0">
                  <c:v>73.318173242107974</c:v>
                </c:pt>
                <c:pt idx="1">
                  <c:v>96.082848038677071</c:v>
                </c:pt>
                <c:pt idx="2">
                  <c:v>126.14176462534475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比率折线图!$O$4:$O$6</c15:f>
                <c15:dlblRangeCache>
                  <c:ptCount val="3"/>
                  <c:pt idx="0">
                    <c:v>2.2</c:v>
                  </c:pt>
                  <c:pt idx="1">
                    <c:v>0.2</c:v>
                  </c:pt>
                  <c:pt idx="2">
                    <c:v>1.6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BBB-4DCA-A7E1-EE307A508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61712"/>
        <c:axId val="1152360752"/>
      </c:scatterChart>
      <c:valAx>
        <c:axId val="1152361712"/>
        <c:scaling>
          <c:orientation val="minMax"/>
          <c:max val="2019.9"/>
          <c:min val="2004"/>
        </c:scaling>
        <c:delete val="0"/>
        <c:axPos val="b"/>
        <c:numFmt formatCode="General" sourceLinked="1"/>
        <c:majorTickMark val="out"/>
        <c:minorTickMark val="out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2360752"/>
        <c:crosses val="autoZero"/>
        <c:crossBetween val="midCat"/>
        <c:minorUnit val="1"/>
      </c:valAx>
      <c:valAx>
        <c:axId val="1152360752"/>
        <c:scaling>
          <c:orientation val="minMax"/>
          <c:max val="140"/>
          <c:min val="60"/>
        </c:scaling>
        <c:delete val="0"/>
        <c:axPos val="l"/>
        <c:majorGridlines>
          <c:spPr>
            <a:ln w="254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236171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183969</xdr:colOff>
      <xdr:row>1</xdr:row>
      <xdr:rowOff>161699</xdr:rowOff>
    </xdr:from>
    <xdr:to>
      <xdr:col>15</xdr:col>
      <xdr:colOff>505540</xdr:colOff>
      <xdr:row>25</xdr:row>
      <xdr:rowOff>132344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681FB2A-1FB6-4E2E-6E44-35A794855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128143</xdr:colOff>
      <xdr:row>0</xdr:row>
      <xdr:rowOff>204739</xdr:rowOff>
    </xdr:from>
    <xdr:to>
      <xdr:col>17</xdr:col>
      <xdr:colOff>138793</xdr:colOff>
      <xdr:row>22</xdr:row>
      <xdr:rowOff>84365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22B2A6-1D57-BF67-3B34-7B2C32CEB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116470</xdr:colOff>
      <xdr:row>2</xdr:row>
      <xdr:rowOff>91966</xdr:rowOff>
    </xdr:from>
    <xdr:to>
      <xdr:col>13</xdr:col>
      <xdr:colOff>61310</xdr:colOff>
      <xdr:row>21</xdr:row>
      <xdr:rowOff>13139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3F75E0-3C5F-63D5-08E0-D356FA7BA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629478</xdr:colOff>
      <xdr:row>2</xdr:row>
      <xdr:rowOff>80810</xdr:rowOff>
    </xdr:from>
    <xdr:to>
      <xdr:col>17</xdr:col>
      <xdr:colOff>136072</xdr:colOff>
      <xdr:row>20</xdr:row>
      <xdr:rowOff>154610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DB62BD8-9AD9-735D-71D5-198208DE7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77109</xdr:colOff>
      <xdr:row>0</xdr:row>
      <xdr:rowOff>64407</xdr:rowOff>
    </xdr:from>
    <xdr:to>
      <xdr:col>14</xdr:col>
      <xdr:colOff>305709</xdr:colOff>
      <xdr:row>26</xdr:row>
      <xdr:rowOff>172357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8AA18F8-4194-47F1-AE04-660CECD2A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219866</xdr:colOff>
      <xdr:row>10</xdr:row>
      <xdr:rowOff>6338</xdr:rowOff>
    </xdr:from>
    <xdr:to>
      <xdr:col>14</xdr:col>
      <xdr:colOff>57727</xdr:colOff>
      <xdr:row>36</xdr:row>
      <xdr:rowOff>128871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BEF324-31D0-46FC-98BC-48642C26B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A63B-61C7-467F-852D-8517D653B3BB}">
  <dimension ref="A1:H446"/>
  <sheetViews>
    <sheetView showGridLines="0" zoomScaleNormal="100" workbookViewId="0">
      <selection activeCell="Q19" sqref="Q19"/>
    </sheetView>
  </sheetViews>
  <sheetFormatPr defaultRowHeight="14" x14ac:dyDescent="0.3"/>
  <cols>
    <col min="1" max="8" width="16.75" customWidth="1"/>
  </cols>
  <sheetData>
    <row r="1" spans="1:8" ht="17.5" x14ac:dyDescent="0.3">
      <c r="A1" s="1" t="s">
        <v>0</v>
      </c>
    </row>
    <row r="2" spans="1:8" x14ac:dyDescent="0.3">
      <c r="C2" t="s">
        <v>3</v>
      </c>
      <c r="E2" s="16" t="s">
        <v>4</v>
      </c>
      <c r="F2" s="16"/>
    </row>
    <row r="3" spans="1:8" x14ac:dyDescent="0.3"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</row>
    <row r="4" spans="1:8" x14ac:dyDescent="0.3">
      <c r="C4" s="3">
        <v>0</v>
      </c>
      <c r="D4" s="3" t="e">
        <f>NA()</f>
        <v>#N/A</v>
      </c>
      <c r="E4" s="3">
        <v>1986</v>
      </c>
      <c r="F4" s="3">
        <f>MAX(A6:A446)</f>
        <v>2019.91</v>
      </c>
      <c r="G4" s="3">
        <v>-1</v>
      </c>
      <c r="H4" s="3">
        <v>0.05</v>
      </c>
    </row>
    <row r="5" spans="1:8" x14ac:dyDescent="0.3">
      <c r="A5" s="18" t="s">
        <v>1</v>
      </c>
      <c r="B5" s="18" t="s">
        <v>2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</row>
    <row r="6" spans="1:8" x14ac:dyDescent="0.3">
      <c r="A6" s="3">
        <v>1987.29</v>
      </c>
      <c r="B6" s="3">
        <v>1.34162</v>
      </c>
      <c r="C6" s="3">
        <f>IF(B6&gt;=$C$4,B6,$D$4)</f>
        <v>1.34162</v>
      </c>
      <c r="D6" s="3" t="e">
        <f>IF(B6&lt;=$C$4,B6,$D$4)</f>
        <v>#N/A</v>
      </c>
      <c r="E6" s="5" cm="1">
        <f t="array" ref="E6">$E$4+(ROW(1:1)-1)*(($F$4-$E$4)/(COUNT($A$6:$A$446)-1))</f>
        <v>1986</v>
      </c>
      <c r="F6" s="5">
        <v>0</v>
      </c>
      <c r="G6" s="3">
        <v>0</v>
      </c>
      <c r="H6" s="3">
        <v>0</v>
      </c>
    </row>
    <row r="7" spans="1:8" x14ac:dyDescent="0.3">
      <c r="A7" s="3">
        <v>1987.3</v>
      </c>
      <c r="B7" s="3">
        <v>1.4293400000000001</v>
      </c>
      <c r="C7" s="3">
        <f t="shared" ref="C7:C70" si="0">IF(B7&gt;=$C$4,B7,$D$4)</f>
        <v>1.4293400000000001</v>
      </c>
      <c r="D7" s="3" t="e">
        <f t="shared" ref="D7:D70" si="1">IF(B7&lt;=$C$4,B7,$D$4)</f>
        <v>#N/A</v>
      </c>
      <c r="E7" s="5" cm="1">
        <f t="array" ref="E7">$E$4+(ROW(2:2)-1)*(($F$4-$E$4)/(COUNT($A$6:$A$446)-1))</f>
        <v>1986.0770681818183</v>
      </c>
      <c r="F7" s="5">
        <v>0</v>
      </c>
      <c r="G7" s="3">
        <v>0</v>
      </c>
      <c r="H7" s="3">
        <v>0</v>
      </c>
    </row>
    <row r="8" spans="1:8" x14ac:dyDescent="0.3">
      <c r="A8" s="3">
        <v>1987.34</v>
      </c>
      <c r="B8" s="3">
        <v>1.5170600000000001</v>
      </c>
      <c r="C8" s="3">
        <f t="shared" si="0"/>
        <v>1.5170600000000001</v>
      </c>
      <c r="D8" s="3" t="e">
        <f t="shared" si="1"/>
        <v>#N/A</v>
      </c>
      <c r="E8" s="5" cm="1">
        <f t="array" ref="E8">$E$4+(ROW(3:3)-1)*(($F$4-$E$4)/(COUNT($A$6:$A$446)-1))</f>
        <v>1986.1541363636363</v>
      </c>
      <c r="F8" s="5">
        <v>0</v>
      </c>
      <c r="G8" s="3">
        <v>0</v>
      </c>
      <c r="H8" s="3">
        <v>0</v>
      </c>
    </row>
    <row r="9" spans="1:8" x14ac:dyDescent="0.3">
      <c r="A9" s="3">
        <v>1987.37</v>
      </c>
      <c r="B9" s="3">
        <v>1.6047800000000001</v>
      </c>
      <c r="C9" s="3">
        <f t="shared" si="0"/>
        <v>1.6047800000000001</v>
      </c>
      <c r="D9" s="3" t="e">
        <f t="shared" si="1"/>
        <v>#N/A</v>
      </c>
      <c r="E9" s="5" cm="1">
        <f t="array" ref="E9">$E$4+(ROW(4:4)-1)*(($F$4-$E$4)/(COUNT($A$6:$A$446)-1))</f>
        <v>1986.2312045454546</v>
      </c>
      <c r="F9" s="5">
        <v>0</v>
      </c>
      <c r="G9" s="3">
        <v>0</v>
      </c>
      <c r="H9" s="3">
        <v>0</v>
      </c>
    </row>
    <row r="10" spans="1:8" x14ac:dyDescent="0.3">
      <c r="A10" s="3">
        <v>1987.42</v>
      </c>
      <c r="B10" s="3">
        <v>1.6912799999999999</v>
      </c>
      <c r="C10" s="3">
        <f t="shared" si="0"/>
        <v>1.6912799999999999</v>
      </c>
      <c r="D10" s="3" t="e">
        <f t="shared" si="1"/>
        <v>#N/A</v>
      </c>
      <c r="E10" s="5" cm="1">
        <f t="array" ref="E10">$E$4+(ROW(5:5)-1)*(($F$4-$E$4)/(COUNT($A$6:$A$446)-1))</f>
        <v>1986.3082727272727</v>
      </c>
      <c r="F10" s="5">
        <v>0</v>
      </c>
      <c r="G10" s="3">
        <v>0</v>
      </c>
      <c r="H10" s="3">
        <v>0</v>
      </c>
    </row>
    <row r="11" spans="1:8" x14ac:dyDescent="0.3">
      <c r="A11" s="3">
        <v>1987.46</v>
      </c>
      <c r="B11" s="3">
        <v>1.7789999999999999</v>
      </c>
      <c r="C11" s="3">
        <f t="shared" si="0"/>
        <v>1.7789999999999999</v>
      </c>
      <c r="D11" s="3" t="e">
        <f t="shared" si="1"/>
        <v>#N/A</v>
      </c>
      <c r="E11" s="5" cm="1">
        <f t="array" ref="E11">$E$4+(ROW(6:6)-1)*(($F$4-$E$4)/(COUNT($A$6:$A$446)-1))</f>
        <v>1986.3853409090909</v>
      </c>
      <c r="F11" s="5">
        <v>0</v>
      </c>
      <c r="G11" s="3">
        <v>0</v>
      </c>
      <c r="H11" s="3">
        <v>0</v>
      </c>
    </row>
    <row r="12" spans="1:8" x14ac:dyDescent="0.3">
      <c r="A12" s="3">
        <v>1987.49</v>
      </c>
      <c r="B12" s="3">
        <v>1.8667199999999999</v>
      </c>
      <c r="C12" s="3">
        <f t="shared" si="0"/>
        <v>1.8667199999999999</v>
      </c>
      <c r="D12" s="3" t="e">
        <f t="shared" si="1"/>
        <v>#N/A</v>
      </c>
      <c r="E12" s="5" cm="1">
        <f t="array" ref="E12">$E$4+(ROW(7:7)-1)*(($F$4-$E$4)/(COUNT($A$6:$A$446)-1))</f>
        <v>1986.4624090909092</v>
      </c>
      <c r="F12" s="5">
        <v>0</v>
      </c>
      <c r="G12" s="3">
        <v>0</v>
      </c>
      <c r="H12" s="3">
        <v>0</v>
      </c>
    </row>
    <row r="13" spans="1:8" x14ac:dyDescent="0.3">
      <c r="A13" s="3">
        <v>1987.51</v>
      </c>
      <c r="B13" s="3">
        <v>1.9544299999999999</v>
      </c>
      <c r="C13" s="3">
        <f t="shared" si="0"/>
        <v>1.9544299999999999</v>
      </c>
      <c r="D13" s="3" t="e">
        <f t="shared" si="1"/>
        <v>#N/A</v>
      </c>
      <c r="E13" s="5" cm="1">
        <f t="array" ref="E13">$E$4+(ROW(8:8)-1)*(($F$4-$E$4)/(COUNT($A$6:$A$446)-1))</f>
        <v>1986.5394772727273</v>
      </c>
      <c r="F13" s="5">
        <v>0</v>
      </c>
      <c r="G13" s="3">
        <v>0</v>
      </c>
      <c r="H13" s="3">
        <v>0</v>
      </c>
    </row>
    <row r="14" spans="1:8" x14ac:dyDescent="0.3">
      <c r="A14" s="3">
        <v>1987.51</v>
      </c>
      <c r="B14" s="3">
        <v>2.0421499999999999</v>
      </c>
      <c r="C14" s="3">
        <f t="shared" si="0"/>
        <v>2.0421499999999999</v>
      </c>
      <c r="D14" s="3" t="e">
        <f t="shared" si="1"/>
        <v>#N/A</v>
      </c>
      <c r="E14" s="5" cm="1">
        <f t="array" ref="E14">$E$4+(ROW(9:9)-1)*(($F$4-$E$4)/(COUNT($A$6:$A$446)-1))</f>
        <v>1986.6165454545455</v>
      </c>
      <c r="F14" s="5">
        <v>0</v>
      </c>
      <c r="G14" s="3">
        <v>0</v>
      </c>
      <c r="H14" s="3">
        <v>0</v>
      </c>
    </row>
    <row r="15" spans="1:8" x14ac:dyDescent="0.3">
      <c r="A15" s="3">
        <v>1987.53</v>
      </c>
      <c r="B15" s="3">
        <v>2.1298699999999999</v>
      </c>
      <c r="C15" s="3">
        <f t="shared" si="0"/>
        <v>2.1298699999999999</v>
      </c>
      <c r="D15" s="3" t="e">
        <f t="shared" si="1"/>
        <v>#N/A</v>
      </c>
      <c r="E15" s="5" cm="1">
        <f t="array" ref="E15">$E$4+(ROW(10:10)-1)*(($F$4-$E$4)/(COUNT($A$6:$A$446)-1))</f>
        <v>1986.6936136363636</v>
      </c>
      <c r="F15" s="5">
        <v>0</v>
      </c>
      <c r="G15" s="3">
        <v>0</v>
      </c>
      <c r="H15" s="3">
        <v>0</v>
      </c>
    </row>
    <row r="16" spans="1:8" x14ac:dyDescent="0.3">
      <c r="A16" s="3">
        <v>1987.58</v>
      </c>
      <c r="B16" s="3">
        <v>2.21759</v>
      </c>
      <c r="C16" s="3">
        <f t="shared" si="0"/>
        <v>2.21759</v>
      </c>
      <c r="D16" s="3" t="e">
        <f t="shared" si="1"/>
        <v>#N/A</v>
      </c>
      <c r="E16" s="5" cm="1">
        <f t="array" ref="E16">$E$4+(ROW(11:11)-1)*(($F$4-$E$4)/(COUNT($A$6:$A$446)-1))</f>
        <v>1986.7706818181819</v>
      </c>
      <c r="F16" s="5">
        <v>0</v>
      </c>
      <c r="G16" s="3">
        <v>0</v>
      </c>
      <c r="H16" s="3">
        <v>0</v>
      </c>
    </row>
    <row r="17" spans="1:8" x14ac:dyDescent="0.3">
      <c r="A17" s="3">
        <v>1987.67</v>
      </c>
      <c r="B17" s="3">
        <v>2.30409</v>
      </c>
      <c r="C17" s="3">
        <f t="shared" si="0"/>
        <v>2.30409</v>
      </c>
      <c r="D17" s="3" t="e">
        <f t="shared" si="1"/>
        <v>#N/A</v>
      </c>
      <c r="E17" s="5" cm="1">
        <f t="array" ref="E17">$E$4+(ROW(12:12)-1)*(($F$4-$E$4)/(COUNT($A$6:$A$446)-1))</f>
        <v>1986.8477499999999</v>
      </c>
      <c r="F17" s="5">
        <v>0</v>
      </c>
      <c r="G17" s="3">
        <v>0</v>
      </c>
      <c r="H17" s="3">
        <v>0</v>
      </c>
    </row>
    <row r="18" spans="1:8" x14ac:dyDescent="0.3">
      <c r="A18" s="3">
        <v>1987.69</v>
      </c>
      <c r="B18" s="3">
        <v>2.9400599999999999</v>
      </c>
      <c r="C18" s="3">
        <f t="shared" si="0"/>
        <v>2.9400599999999999</v>
      </c>
      <c r="D18" s="3" t="e">
        <f t="shared" si="1"/>
        <v>#N/A</v>
      </c>
      <c r="E18" s="5" cm="1">
        <f t="array" ref="E18">$E$4+(ROW(13:13)-1)*(($F$4-$E$4)/(COUNT($A$6:$A$446)-1))</f>
        <v>1986.9248181818182</v>
      </c>
      <c r="F18" s="5">
        <v>0</v>
      </c>
      <c r="G18" s="3">
        <v>0</v>
      </c>
      <c r="H18" s="3">
        <v>0</v>
      </c>
    </row>
    <row r="19" spans="1:8" x14ac:dyDescent="0.3">
      <c r="A19" s="3">
        <v>1987.78</v>
      </c>
      <c r="B19" s="3">
        <v>2.3881600000000001</v>
      </c>
      <c r="C19" s="3">
        <f t="shared" si="0"/>
        <v>2.3881600000000001</v>
      </c>
      <c r="D19" s="3" t="e">
        <f t="shared" si="1"/>
        <v>#N/A</v>
      </c>
      <c r="E19" s="5" cm="1">
        <f t="array" ref="E19">$E$4+(ROW(14:14)-1)*(($F$4-$E$4)/(COUNT($A$6:$A$446)-1))</f>
        <v>1987.0018863636365</v>
      </c>
      <c r="F19" s="5">
        <v>0</v>
      </c>
      <c r="G19" s="3">
        <v>0</v>
      </c>
      <c r="H19" s="3">
        <v>0</v>
      </c>
    </row>
    <row r="20" spans="1:8" x14ac:dyDescent="0.3">
      <c r="A20" s="3">
        <v>1987.88</v>
      </c>
      <c r="B20" s="3">
        <v>2.4734400000000001</v>
      </c>
      <c r="C20" s="3">
        <f t="shared" si="0"/>
        <v>2.4734400000000001</v>
      </c>
      <c r="D20" s="3" t="e">
        <f t="shared" si="1"/>
        <v>#N/A</v>
      </c>
      <c r="E20" s="5" cm="1">
        <f t="array" ref="E20">$E$4+(ROW(15:15)-1)*(($F$4-$E$4)/(COUNT($A$6:$A$446)-1))</f>
        <v>1987.0789545454545</v>
      </c>
      <c r="F20" s="5">
        <v>0</v>
      </c>
      <c r="G20" s="3">
        <v>0</v>
      </c>
      <c r="H20" s="3">
        <v>0</v>
      </c>
    </row>
    <row r="21" spans="1:8" x14ac:dyDescent="0.3">
      <c r="A21" s="3">
        <v>1988.02</v>
      </c>
      <c r="B21" s="3">
        <v>2.9948800000000002</v>
      </c>
      <c r="C21" s="3">
        <f t="shared" si="0"/>
        <v>2.9948800000000002</v>
      </c>
      <c r="D21" s="3" t="e">
        <f t="shared" si="1"/>
        <v>#N/A</v>
      </c>
      <c r="E21" s="5" cm="1">
        <f t="array" ref="E21">$E$4+(ROW(16:16)-1)*(($F$4-$E$4)/(COUNT($A$6:$A$446)-1))</f>
        <v>1987.1560227272728</v>
      </c>
      <c r="F21" s="5">
        <v>0</v>
      </c>
      <c r="G21" s="3">
        <v>0</v>
      </c>
      <c r="H21" s="3">
        <v>0</v>
      </c>
    </row>
    <row r="22" spans="1:8" x14ac:dyDescent="0.3">
      <c r="A22" s="3">
        <v>1988.04</v>
      </c>
      <c r="B22" s="3">
        <v>2.4283600000000001</v>
      </c>
      <c r="C22" s="3">
        <f t="shared" si="0"/>
        <v>2.4283600000000001</v>
      </c>
      <c r="D22" s="3" t="e">
        <f t="shared" si="1"/>
        <v>#N/A</v>
      </c>
      <c r="E22" s="5" cm="1">
        <f t="array" ref="E22">$E$4+(ROW(17:17)-1)*(($F$4-$E$4)/(COUNT($A$6:$A$446)-1))</f>
        <v>1987.2330909090908</v>
      </c>
      <c r="F22" s="5">
        <v>0</v>
      </c>
      <c r="G22" s="3">
        <v>0</v>
      </c>
      <c r="H22" s="3">
        <v>0</v>
      </c>
    </row>
    <row r="23" spans="1:8" x14ac:dyDescent="0.3">
      <c r="A23" s="3">
        <v>1988.1</v>
      </c>
      <c r="B23" s="3">
        <v>2.6403500000000002</v>
      </c>
      <c r="C23" s="3">
        <f t="shared" si="0"/>
        <v>2.6403500000000002</v>
      </c>
      <c r="D23" s="3" t="e">
        <f t="shared" si="1"/>
        <v>#N/A</v>
      </c>
      <c r="E23" s="5" cm="1">
        <f t="array" ref="E23">$E$4+(ROW(18:18)-1)*(($F$4-$E$4)/(COUNT($A$6:$A$446)-1))</f>
        <v>1987.3101590909091</v>
      </c>
      <c r="F23" s="5">
        <v>0</v>
      </c>
      <c r="G23" s="3">
        <v>0</v>
      </c>
      <c r="H23" s="3">
        <v>0</v>
      </c>
    </row>
    <row r="24" spans="1:8" x14ac:dyDescent="0.3">
      <c r="A24" s="3">
        <v>1988.13</v>
      </c>
      <c r="B24" s="3">
        <v>3.6052599999999999</v>
      </c>
      <c r="C24" s="3">
        <f t="shared" si="0"/>
        <v>3.6052599999999999</v>
      </c>
      <c r="D24" s="3" t="e">
        <f t="shared" si="1"/>
        <v>#N/A</v>
      </c>
      <c r="E24" s="5" cm="1">
        <f t="array" ref="E24">$E$4+(ROW(19:19)-1)*(($F$4-$E$4)/(COUNT($A$6:$A$446)-1))</f>
        <v>1987.3872272727274</v>
      </c>
      <c r="F24" s="5">
        <v>0</v>
      </c>
      <c r="G24" s="3">
        <v>0</v>
      </c>
      <c r="H24" s="3">
        <v>0</v>
      </c>
    </row>
    <row r="25" spans="1:8" x14ac:dyDescent="0.3">
      <c r="A25" s="3">
        <v>1988.14</v>
      </c>
      <c r="B25" s="3">
        <v>3.6929799999999999</v>
      </c>
      <c r="C25" s="3">
        <f t="shared" si="0"/>
        <v>3.6929799999999999</v>
      </c>
      <c r="D25" s="3" t="e">
        <f t="shared" si="1"/>
        <v>#N/A</v>
      </c>
      <c r="E25" s="5" cm="1">
        <f t="array" ref="E25">$E$4+(ROW(20:20)-1)*(($F$4-$E$4)/(COUNT($A$6:$A$446)-1))</f>
        <v>1987.4642954545454</v>
      </c>
      <c r="F25" s="5">
        <v>0</v>
      </c>
      <c r="G25" s="3">
        <v>0</v>
      </c>
      <c r="H25" s="3">
        <v>0</v>
      </c>
    </row>
    <row r="26" spans="1:8" x14ac:dyDescent="0.3">
      <c r="A26" s="3">
        <v>1988.15</v>
      </c>
      <c r="B26" s="3">
        <v>3.0740699999999999</v>
      </c>
      <c r="C26" s="3">
        <f t="shared" si="0"/>
        <v>3.0740699999999999</v>
      </c>
      <c r="D26" s="3" t="e">
        <f t="shared" si="1"/>
        <v>#N/A</v>
      </c>
      <c r="E26" s="5" cm="1">
        <f t="array" ref="E26">$E$4+(ROW(21:21)-1)*(($F$4-$E$4)/(COUNT($A$6:$A$446)-1))</f>
        <v>1987.5413636363637</v>
      </c>
      <c r="F26" s="5">
        <v>0</v>
      </c>
      <c r="G26" s="3">
        <v>0</v>
      </c>
      <c r="H26" s="3">
        <v>0</v>
      </c>
    </row>
    <row r="27" spans="1:8" x14ac:dyDescent="0.3">
      <c r="A27" s="3">
        <v>1988.16</v>
      </c>
      <c r="B27" s="3">
        <v>3.5175399999999999</v>
      </c>
      <c r="C27" s="3">
        <f t="shared" si="0"/>
        <v>3.5175399999999999</v>
      </c>
      <c r="D27" s="3" t="e">
        <f t="shared" si="1"/>
        <v>#N/A</v>
      </c>
      <c r="E27" s="5" cm="1">
        <f t="array" ref="E27">$E$4+(ROW(22:22)-1)*(($F$4-$E$4)/(COUNT($A$6:$A$446)-1))</f>
        <v>1987.6184318181818</v>
      </c>
      <c r="F27" s="5">
        <v>0</v>
      </c>
      <c r="G27" s="3">
        <v>0</v>
      </c>
      <c r="H27" s="3">
        <v>0</v>
      </c>
    </row>
    <row r="28" spans="1:8" x14ac:dyDescent="0.3">
      <c r="A28" s="3">
        <v>1988.16</v>
      </c>
      <c r="B28" s="3">
        <v>3.4298199999999999</v>
      </c>
      <c r="C28" s="3">
        <f t="shared" si="0"/>
        <v>3.4298199999999999</v>
      </c>
      <c r="D28" s="3" t="e">
        <f t="shared" si="1"/>
        <v>#N/A</v>
      </c>
      <c r="E28" s="5" cm="1">
        <f t="array" ref="E28">$E$4+(ROW(23:23)-1)*(($F$4-$E$4)/(COUNT($A$6:$A$446)-1))</f>
        <v>1987.6955</v>
      </c>
      <c r="F28" s="5">
        <v>0</v>
      </c>
      <c r="G28" s="3">
        <v>0</v>
      </c>
      <c r="H28" s="3">
        <v>0</v>
      </c>
    </row>
    <row r="29" spans="1:8" x14ac:dyDescent="0.3">
      <c r="A29" s="3">
        <v>1988.16</v>
      </c>
      <c r="B29" s="3">
        <v>3.3421099999999999</v>
      </c>
      <c r="C29" s="3">
        <f t="shared" si="0"/>
        <v>3.3421099999999999</v>
      </c>
      <c r="D29" s="3" t="e">
        <f t="shared" si="1"/>
        <v>#N/A</v>
      </c>
      <c r="E29" s="5" cm="1">
        <f t="array" ref="E29">$E$4+(ROW(24:24)-1)*(($F$4-$E$4)/(COUNT($A$6:$A$446)-1))</f>
        <v>1987.7725681818181</v>
      </c>
      <c r="F29" s="5">
        <v>0</v>
      </c>
      <c r="G29" s="3">
        <v>0</v>
      </c>
      <c r="H29" s="3">
        <v>0</v>
      </c>
    </row>
    <row r="30" spans="1:8" x14ac:dyDescent="0.3">
      <c r="A30" s="3">
        <v>1988.16</v>
      </c>
      <c r="B30" s="3">
        <v>3.2543899999999999</v>
      </c>
      <c r="C30" s="3">
        <f t="shared" si="0"/>
        <v>3.2543899999999999</v>
      </c>
      <c r="D30" s="3" t="e">
        <f t="shared" si="1"/>
        <v>#N/A</v>
      </c>
      <c r="E30" s="5" cm="1">
        <f t="array" ref="E30">$E$4+(ROW(25:25)-1)*(($F$4-$E$4)/(COUNT($A$6:$A$446)-1))</f>
        <v>1987.8496363636364</v>
      </c>
      <c r="F30" s="5">
        <v>0</v>
      </c>
      <c r="G30" s="3">
        <v>0</v>
      </c>
      <c r="H30" s="3">
        <v>0</v>
      </c>
    </row>
    <row r="31" spans="1:8" x14ac:dyDescent="0.3">
      <c r="A31" s="3">
        <v>1988.17</v>
      </c>
      <c r="B31" s="3">
        <v>3.1642299999999999</v>
      </c>
      <c r="C31" s="3">
        <f t="shared" si="0"/>
        <v>3.1642299999999999</v>
      </c>
      <c r="D31" s="3" t="e">
        <f t="shared" si="1"/>
        <v>#N/A</v>
      </c>
      <c r="E31" s="5" cm="1">
        <f t="array" ref="E31">$E$4+(ROW(26:26)-1)*(($F$4-$E$4)/(COUNT($A$6:$A$446)-1))</f>
        <v>1987.9267045454546</v>
      </c>
      <c r="F31" s="5">
        <v>0</v>
      </c>
      <c r="G31" s="3">
        <v>0</v>
      </c>
      <c r="H31" s="3">
        <v>0</v>
      </c>
    </row>
    <row r="32" spans="1:8" x14ac:dyDescent="0.3">
      <c r="A32" s="3">
        <v>1988.44</v>
      </c>
      <c r="B32" s="3">
        <v>2.4100899999999998</v>
      </c>
      <c r="C32" s="3">
        <f t="shared" si="0"/>
        <v>2.4100899999999998</v>
      </c>
      <c r="D32" s="3" t="e">
        <f t="shared" si="1"/>
        <v>#N/A</v>
      </c>
      <c r="E32" s="5" cm="1">
        <f t="array" ref="E32">$E$4+(ROW(27:27)-1)*(($F$4-$E$4)/(COUNT($A$6:$A$446)-1))</f>
        <v>1988.0037727272727</v>
      </c>
      <c r="F32" s="5">
        <v>0</v>
      </c>
      <c r="G32" s="3">
        <v>0</v>
      </c>
      <c r="H32" s="3">
        <v>0</v>
      </c>
    </row>
    <row r="33" spans="1:8" x14ac:dyDescent="0.3">
      <c r="A33" s="3">
        <v>1988.45</v>
      </c>
      <c r="B33" s="3">
        <v>2.44055</v>
      </c>
      <c r="C33" s="3">
        <f t="shared" si="0"/>
        <v>2.44055</v>
      </c>
      <c r="D33" s="3" t="e">
        <f t="shared" si="1"/>
        <v>#N/A</v>
      </c>
      <c r="E33" s="5" cm="1">
        <f t="array" ref="E33">$E$4+(ROW(28:28)-1)*(($F$4-$E$4)/(COUNT($A$6:$A$446)-1))</f>
        <v>1988.080840909091</v>
      </c>
      <c r="F33" s="5">
        <v>0</v>
      </c>
      <c r="G33" s="3">
        <v>0</v>
      </c>
      <c r="H33" s="3">
        <v>0</v>
      </c>
    </row>
    <row r="34" spans="1:8" x14ac:dyDescent="0.3">
      <c r="A34" s="3">
        <v>1988.48</v>
      </c>
      <c r="B34" s="3">
        <v>2.35283</v>
      </c>
      <c r="C34" s="3">
        <f t="shared" si="0"/>
        <v>2.35283</v>
      </c>
      <c r="D34" s="3" t="e">
        <f t="shared" si="1"/>
        <v>#N/A</v>
      </c>
      <c r="E34" s="5" cm="1">
        <f t="array" ref="E34">$E$4+(ROW(29:29)-1)*(($F$4-$E$4)/(COUNT($A$6:$A$446)-1))</f>
        <v>1988.157909090909</v>
      </c>
      <c r="F34" s="5">
        <v>0</v>
      </c>
      <c r="G34" s="3">
        <v>0</v>
      </c>
      <c r="H34" s="3">
        <v>0</v>
      </c>
    </row>
    <row r="35" spans="1:8" x14ac:dyDescent="0.3">
      <c r="A35" s="3">
        <v>1988.51</v>
      </c>
      <c r="B35" s="3">
        <v>2.6293899999999999</v>
      </c>
      <c r="C35" s="3">
        <f t="shared" si="0"/>
        <v>2.6293899999999999</v>
      </c>
      <c r="D35" s="3" t="e">
        <f t="shared" si="1"/>
        <v>#N/A</v>
      </c>
      <c r="E35" s="5" cm="1">
        <f t="array" ref="E35">$E$4+(ROW(30:30)-1)*(($F$4-$E$4)/(COUNT($A$6:$A$446)-1))</f>
        <v>1988.2349772727273</v>
      </c>
      <c r="F35" s="5">
        <v>0</v>
      </c>
      <c r="G35" s="3">
        <v>0</v>
      </c>
      <c r="H35" s="3">
        <v>0</v>
      </c>
    </row>
    <row r="36" spans="1:8" x14ac:dyDescent="0.3">
      <c r="A36" s="3">
        <v>1988.68</v>
      </c>
      <c r="B36" s="3">
        <v>2.2785099999999998</v>
      </c>
      <c r="C36" s="3">
        <f t="shared" si="0"/>
        <v>2.2785099999999998</v>
      </c>
      <c r="D36" s="3" t="e">
        <f t="shared" si="1"/>
        <v>#N/A</v>
      </c>
      <c r="E36" s="5" cm="1">
        <f t="array" ref="E36">$E$4+(ROW(31:31)-1)*(($F$4-$E$4)/(COUNT($A$6:$A$446)-1))</f>
        <v>1988.3120454545456</v>
      </c>
      <c r="F36" s="5">
        <v>0</v>
      </c>
      <c r="G36" s="3">
        <v>0</v>
      </c>
      <c r="H36" s="3">
        <v>0</v>
      </c>
    </row>
    <row r="37" spans="1:8" x14ac:dyDescent="0.3">
      <c r="A37" s="3">
        <v>1988.73</v>
      </c>
      <c r="B37" s="3">
        <v>2.1920099999999998</v>
      </c>
      <c r="C37" s="3">
        <f t="shared" si="0"/>
        <v>2.1920099999999998</v>
      </c>
      <c r="D37" s="3" t="e">
        <f t="shared" si="1"/>
        <v>#N/A</v>
      </c>
      <c r="E37" s="5" cm="1">
        <f t="array" ref="E37">$E$4+(ROW(32:32)-1)*(($F$4-$E$4)/(COUNT($A$6:$A$446)-1))</f>
        <v>1988.3891136363636</v>
      </c>
      <c r="F37" s="5">
        <v>0</v>
      </c>
      <c r="G37" s="3">
        <v>0</v>
      </c>
      <c r="H37" s="3">
        <v>0</v>
      </c>
    </row>
    <row r="38" spans="1:8" x14ac:dyDescent="0.3">
      <c r="A38" s="3">
        <v>1988.76</v>
      </c>
      <c r="B38" s="3">
        <v>2.1055100000000002</v>
      </c>
      <c r="C38" s="3">
        <f t="shared" si="0"/>
        <v>2.1055100000000002</v>
      </c>
      <c r="D38" s="3" t="e">
        <f t="shared" si="1"/>
        <v>#N/A</v>
      </c>
      <c r="E38" s="5" cm="1">
        <f t="array" ref="E38">$E$4+(ROW(33:33)-1)*(($F$4-$E$4)/(COUNT($A$6:$A$446)-1))</f>
        <v>1988.4661818181819</v>
      </c>
      <c r="F38" s="5">
        <v>0</v>
      </c>
      <c r="G38" s="3">
        <v>0</v>
      </c>
      <c r="H38" s="3">
        <v>0</v>
      </c>
    </row>
    <row r="39" spans="1:8" x14ac:dyDescent="0.3">
      <c r="A39" s="3">
        <v>1988.8</v>
      </c>
      <c r="B39" s="3">
        <v>2.0177900000000002</v>
      </c>
      <c r="C39" s="3">
        <f t="shared" si="0"/>
        <v>2.0177900000000002</v>
      </c>
      <c r="D39" s="3" t="e">
        <f t="shared" si="1"/>
        <v>#N/A</v>
      </c>
      <c r="E39" s="5" cm="1">
        <f t="array" ref="E39">$E$4+(ROW(34:34)-1)*(($F$4-$E$4)/(COUNT($A$6:$A$446)-1))</f>
        <v>1988.5432499999999</v>
      </c>
      <c r="F39" s="5">
        <v>0</v>
      </c>
      <c r="G39" s="3">
        <v>0</v>
      </c>
      <c r="H39" s="3">
        <v>0</v>
      </c>
    </row>
    <row r="40" spans="1:8" x14ac:dyDescent="0.3">
      <c r="A40" s="3">
        <v>1988.83</v>
      </c>
      <c r="B40" s="3">
        <v>1.93007</v>
      </c>
      <c r="C40" s="3">
        <f t="shared" si="0"/>
        <v>1.93007</v>
      </c>
      <c r="D40" s="3" t="e">
        <f t="shared" si="1"/>
        <v>#N/A</v>
      </c>
      <c r="E40" s="5" cm="1">
        <f t="array" ref="E40">$E$4+(ROW(35:35)-1)*(($F$4-$E$4)/(COUNT($A$6:$A$446)-1))</f>
        <v>1988.6203181818182</v>
      </c>
      <c r="F40" s="5">
        <v>0</v>
      </c>
      <c r="G40" s="3">
        <v>0</v>
      </c>
      <c r="H40" s="3">
        <v>0</v>
      </c>
    </row>
    <row r="41" spans="1:8" x14ac:dyDescent="0.3">
      <c r="A41" s="3">
        <v>1988.86</v>
      </c>
      <c r="B41" s="3">
        <v>1.8435699999999999</v>
      </c>
      <c r="C41" s="3">
        <f t="shared" si="0"/>
        <v>1.8435699999999999</v>
      </c>
      <c r="D41" s="3" t="e">
        <f t="shared" si="1"/>
        <v>#N/A</v>
      </c>
      <c r="E41" s="5" cm="1">
        <f t="array" ref="E41">$E$4+(ROW(36:36)-1)*(($F$4-$E$4)/(COUNT($A$6:$A$446)-1))</f>
        <v>1988.6973863636363</v>
      </c>
      <c r="F41" s="5">
        <v>0</v>
      </c>
      <c r="G41" s="3">
        <v>0</v>
      </c>
      <c r="H41" s="3">
        <v>0</v>
      </c>
    </row>
    <row r="42" spans="1:8" x14ac:dyDescent="0.3">
      <c r="A42" s="3">
        <v>1988.87</v>
      </c>
      <c r="B42" s="3">
        <v>1.7558499999999999</v>
      </c>
      <c r="C42" s="3">
        <f t="shared" si="0"/>
        <v>1.7558499999999999</v>
      </c>
      <c r="D42" s="3" t="e">
        <f t="shared" si="1"/>
        <v>#N/A</v>
      </c>
      <c r="E42" s="5" cm="1">
        <f t="array" ref="E42">$E$4+(ROW(37:37)-1)*(($F$4-$E$4)/(COUNT($A$6:$A$446)-1))</f>
        <v>1988.7744545454545</v>
      </c>
      <c r="F42" s="5">
        <v>0</v>
      </c>
      <c r="G42" s="3">
        <v>0</v>
      </c>
      <c r="H42" s="3">
        <v>0</v>
      </c>
    </row>
    <row r="43" spans="1:8" x14ac:dyDescent="0.3">
      <c r="A43" s="3">
        <v>1988.88</v>
      </c>
      <c r="B43" s="3">
        <v>1.6681299999999999</v>
      </c>
      <c r="C43" s="3">
        <f t="shared" si="0"/>
        <v>1.6681299999999999</v>
      </c>
      <c r="D43" s="3" t="e">
        <f t="shared" si="1"/>
        <v>#N/A</v>
      </c>
      <c r="E43" s="5" cm="1">
        <f t="array" ref="E43">$E$4+(ROW(38:38)-1)*(($F$4-$E$4)/(COUNT($A$6:$A$446)-1))</f>
        <v>1988.8515227272728</v>
      </c>
      <c r="F43" s="5">
        <v>0</v>
      </c>
      <c r="G43" s="3">
        <v>0</v>
      </c>
      <c r="H43" s="3">
        <v>0</v>
      </c>
    </row>
    <row r="44" spans="1:8" x14ac:dyDescent="0.3">
      <c r="A44" s="3">
        <v>1988.89</v>
      </c>
      <c r="B44" s="3">
        <v>1.5804100000000001</v>
      </c>
      <c r="C44" s="3">
        <f t="shared" si="0"/>
        <v>1.5804100000000001</v>
      </c>
      <c r="D44" s="3" t="e">
        <f t="shared" si="1"/>
        <v>#N/A</v>
      </c>
      <c r="E44" s="5" cm="1">
        <f t="array" ref="E44">$E$4+(ROW(39:39)-1)*(($F$4-$E$4)/(COUNT($A$6:$A$446)-1))</f>
        <v>1988.9285909090909</v>
      </c>
      <c r="F44" s="5">
        <v>0</v>
      </c>
      <c r="G44" s="3">
        <v>0</v>
      </c>
      <c r="H44" s="3">
        <v>0</v>
      </c>
    </row>
    <row r="45" spans="1:8" x14ac:dyDescent="0.3">
      <c r="A45" s="3">
        <v>1988.9</v>
      </c>
      <c r="B45" s="3">
        <v>1.4926900000000001</v>
      </c>
      <c r="C45" s="3">
        <f t="shared" si="0"/>
        <v>1.4926900000000001</v>
      </c>
      <c r="D45" s="3" t="e">
        <f t="shared" si="1"/>
        <v>#N/A</v>
      </c>
      <c r="E45" s="5" cm="1">
        <f t="array" ref="E45">$E$4+(ROW(40:40)-1)*(($F$4-$E$4)/(COUNT($A$6:$A$446)-1))</f>
        <v>1989.0056590909091</v>
      </c>
      <c r="F45" s="5">
        <v>0</v>
      </c>
      <c r="G45" s="3">
        <v>0</v>
      </c>
      <c r="H45" s="3">
        <v>0</v>
      </c>
    </row>
    <row r="46" spans="1:8" x14ac:dyDescent="0.3">
      <c r="A46" s="3">
        <v>1988.92</v>
      </c>
      <c r="B46" s="3">
        <v>1.4049700000000001</v>
      </c>
      <c r="C46" s="3">
        <f t="shared" si="0"/>
        <v>1.4049700000000001</v>
      </c>
      <c r="D46" s="3" t="e">
        <f t="shared" si="1"/>
        <v>#N/A</v>
      </c>
      <c r="E46" s="5" cm="1">
        <f t="array" ref="E46">$E$4+(ROW(41:41)-1)*(($F$4-$E$4)/(COUNT($A$6:$A$446)-1))</f>
        <v>1989.0827272727272</v>
      </c>
      <c r="F46" s="5">
        <v>0</v>
      </c>
      <c r="G46" s="3">
        <v>0</v>
      </c>
      <c r="H46" s="3">
        <v>0</v>
      </c>
    </row>
    <row r="47" spans="1:8" x14ac:dyDescent="0.3">
      <c r="A47" s="3">
        <v>1988.93</v>
      </c>
      <c r="B47" s="3">
        <v>1.31725</v>
      </c>
      <c r="C47" s="3">
        <f t="shared" si="0"/>
        <v>1.31725</v>
      </c>
      <c r="D47" s="3" t="e">
        <f t="shared" si="1"/>
        <v>#N/A</v>
      </c>
      <c r="E47" s="5" cm="1">
        <f t="array" ref="E47">$E$4+(ROW(42:42)-1)*(($F$4-$E$4)/(COUNT($A$6:$A$446)-1))</f>
        <v>1989.1597954545455</v>
      </c>
      <c r="F47" s="5">
        <v>0</v>
      </c>
      <c r="G47" s="3">
        <v>0</v>
      </c>
      <c r="H47" s="3">
        <v>0</v>
      </c>
    </row>
    <row r="48" spans="1:8" x14ac:dyDescent="0.3">
      <c r="A48" s="3">
        <v>1988.94</v>
      </c>
      <c r="B48" s="3">
        <v>1.22953</v>
      </c>
      <c r="C48" s="3">
        <f t="shared" si="0"/>
        <v>1.22953</v>
      </c>
      <c r="D48" s="3" t="e">
        <f t="shared" si="1"/>
        <v>#N/A</v>
      </c>
      <c r="E48" s="5" cm="1">
        <f t="array" ref="E48">$E$4+(ROW(43:43)-1)*(($F$4-$E$4)/(COUNT($A$6:$A$446)-1))</f>
        <v>1989.2368636363638</v>
      </c>
      <c r="F48" s="5">
        <v>0</v>
      </c>
      <c r="G48" s="3">
        <v>0</v>
      </c>
      <c r="H48" s="3">
        <v>0</v>
      </c>
    </row>
    <row r="49" spans="1:8" x14ac:dyDescent="0.3">
      <c r="A49" s="3">
        <v>1988.97</v>
      </c>
      <c r="B49" s="3">
        <v>1.14181</v>
      </c>
      <c r="C49" s="3">
        <f t="shared" si="0"/>
        <v>1.14181</v>
      </c>
      <c r="D49" s="3" t="e">
        <f t="shared" si="1"/>
        <v>#N/A</v>
      </c>
      <c r="E49" s="5" cm="1">
        <f t="array" ref="E49">$E$4+(ROW(44:44)-1)*(($F$4-$E$4)/(COUNT($A$6:$A$446)-1))</f>
        <v>1989.3139318181818</v>
      </c>
      <c r="F49" s="5">
        <v>0</v>
      </c>
      <c r="G49" s="3">
        <v>0</v>
      </c>
      <c r="H49" s="3">
        <v>0</v>
      </c>
    </row>
    <row r="50" spans="1:8" x14ac:dyDescent="0.3">
      <c r="A50" s="3">
        <v>1989</v>
      </c>
      <c r="B50" s="3">
        <v>1.05409</v>
      </c>
      <c r="C50" s="3">
        <f t="shared" si="0"/>
        <v>1.05409</v>
      </c>
      <c r="D50" s="3" t="e">
        <f t="shared" si="1"/>
        <v>#N/A</v>
      </c>
      <c r="E50" s="5" cm="1">
        <f t="array" ref="E50">$E$4+(ROW(45:45)-1)*(($F$4-$E$4)/(COUNT($A$6:$A$446)-1))</f>
        <v>1989.3910000000001</v>
      </c>
      <c r="F50" s="5">
        <v>0</v>
      </c>
      <c r="G50" s="3">
        <v>0</v>
      </c>
      <c r="H50" s="3">
        <v>0</v>
      </c>
    </row>
    <row r="51" spans="1:8" x14ac:dyDescent="0.3">
      <c r="A51" s="3">
        <v>1989.03</v>
      </c>
      <c r="B51" s="3">
        <v>0.96637399999999996</v>
      </c>
      <c r="C51" s="3">
        <f t="shared" si="0"/>
        <v>0.96637399999999996</v>
      </c>
      <c r="D51" s="3" t="e">
        <f t="shared" si="1"/>
        <v>#N/A</v>
      </c>
      <c r="E51" s="5" cm="1">
        <f t="array" ref="E51">$E$4+(ROW(46:46)-1)*(($F$4-$E$4)/(COUNT($A$6:$A$446)-1))</f>
        <v>1989.4680681818181</v>
      </c>
      <c r="F51" s="5">
        <v>0</v>
      </c>
      <c r="G51" s="3">
        <v>0</v>
      </c>
      <c r="H51" s="3">
        <v>0</v>
      </c>
    </row>
    <row r="52" spans="1:8" x14ac:dyDescent="0.3">
      <c r="A52" s="3">
        <v>1989.07</v>
      </c>
      <c r="B52" s="3">
        <v>0.87987300000000002</v>
      </c>
      <c r="C52" s="3">
        <f t="shared" si="0"/>
        <v>0.87987300000000002</v>
      </c>
      <c r="D52" s="3" t="e">
        <f t="shared" si="1"/>
        <v>#N/A</v>
      </c>
      <c r="E52" s="5" cm="1">
        <f t="array" ref="E52">$E$4+(ROW(47:47)-1)*(($F$4-$E$4)/(COUNT($A$6:$A$446)-1))</f>
        <v>1989.5451363636364</v>
      </c>
      <c r="F52" s="5">
        <v>0</v>
      </c>
      <c r="G52" s="3">
        <v>0</v>
      </c>
      <c r="H52" s="3">
        <v>0</v>
      </c>
    </row>
    <row r="53" spans="1:8" x14ac:dyDescent="0.3">
      <c r="A53" s="3">
        <v>1989.09</v>
      </c>
      <c r="B53" s="3">
        <v>0.79215400000000002</v>
      </c>
      <c r="C53" s="3">
        <f t="shared" si="0"/>
        <v>0.79215400000000002</v>
      </c>
      <c r="D53" s="3" t="e">
        <f t="shared" si="1"/>
        <v>#N/A</v>
      </c>
      <c r="E53" s="5" cm="1">
        <f t="array" ref="E53">$E$4+(ROW(48:48)-1)*(($F$4-$E$4)/(COUNT($A$6:$A$446)-1))</f>
        <v>1989.6222045454545</v>
      </c>
      <c r="F53" s="5">
        <v>0</v>
      </c>
      <c r="G53" s="3">
        <v>0</v>
      </c>
      <c r="H53" s="3">
        <v>0</v>
      </c>
    </row>
    <row r="54" spans="1:8" x14ac:dyDescent="0.3">
      <c r="A54" s="3">
        <v>1989.11</v>
      </c>
      <c r="B54" s="3">
        <v>0.70443500000000003</v>
      </c>
      <c r="C54" s="3">
        <f t="shared" si="0"/>
        <v>0.70443500000000003</v>
      </c>
      <c r="D54" s="3" t="e">
        <f t="shared" si="1"/>
        <v>#N/A</v>
      </c>
      <c r="E54" s="5" cm="1">
        <f t="array" ref="E54">$E$4+(ROW(49:49)-1)*(($F$4-$E$4)/(COUNT($A$6:$A$446)-1))</f>
        <v>1989.6992727272727</v>
      </c>
      <c r="F54" s="5">
        <v>0</v>
      </c>
      <c r="G54" s="3">
        <v>0</v>
      </c>
      <c r="H54" s="3">
        <v>0</v>
      </c>
    </row>
    <row r="55" spans="1:8" x14ac:dyDescent="0.3">
      <c r="A55" s="3">
        <v>1989.13</v>
      </c>
      <c r="B55" s="3">
        <v>0.61671500000000001</v>
      </c>
      <c r="C55" s="3">
        <f t="shared" si="0"/>
        <v>0.61671500000000001</v>
      </c>
      <c r="D55" s="3" t="e">
        <f t="shared" si="1"/>
        <v>#N/A</v>
      </c>
      <c r="E55" s="5" cm="1">
        <f t="array" ref="E55">$E$4+(ROW(50:50)-1)*(($F$4-$E$4)/(COUNT($A$6:$A$446)-1))</f>
        <v>1989.776340909091</v>
      </c>
      <c r="F55" s="5">
        <v>0</v>
      </c>
      <c r="G55" s="3">
        <v>0</v>
      </c>
      <c r="H55" s="3">
        <v>0</v>
      </c>
    </row>
    <row r="56" spans="1:8" x14ac:dyDescent="0.3">
      <c r="A56" s="3">
        <v>1989.16</v>
      </c>
      <c r="B56" s="3">
        <v>0.52899600000000002</v>
      </c>
      <c r="C56" s="3">
        <f t="shared" si="0"/>
        <v>0.52899600000000002</v>
      </c>
      <c r="D56" s="3" t="e">
        <f t="shared" si="1"/>
        <v>#N/A</v>
      </c>
      <c r="E56" s="5" cm="1">
        <f t="array" ref="E56">$E$4+(ROW(51:51)-1)*(($F$4-$E$4)/(COUNT($A$6:$A$446)-1))</f>
        <v>1989.8534090909091</v>
      </c>
      <c r="F56" s="5">
        <v>0</v>
      </c>
      <c r="G56" s="3">
        <v>0</v>
      </c>
      <c r="H56" s="3">
        <v>0</v>
      </c>
    </row>
    <row r="57" spans="1:8" x14ac:dyDescent="0.3">
      <c r="A57" s="3">
        <v>1989.22</v>
      </c>
      <c r="B57" s="3">
        <v>0.44249500000000003</v>
      </c>
      <c r="C57" s="3">
        <f t="shared" si="0"/>
        <v>0.44249500000000003</v>
      </c>
      <c r="D57" s="3" t="e">
        <f t="shared" si="1"/>
        <v>#N/A</v>
      </c>
      <c r="E57" s="5" cm="1">
        <f t="array" ref="E57">$E$4+(ROW(52:52)-1)*(($F$4-$E$4)/(COUNT($A$6:$A$446)-1))</f>
        <v>1989.9304772727273</v>
      </c>
      <c r="F57" s="5">
        <v>0</v>
      </c>
      <c r="G57" s="3">
        <v>0</v>
      </c>
      <c r="H57" s="3">
        <v>0</v>
      </c>
    </row>
    <row r="58" spans="1:8" x14ac:dyDescent="0.3">
      <c r="A58" s="3">
        <v>1989.3</v>
      </c>
      <c r="B58" s="3">
        <v>0.35599399999999998</v>
      </c>
      <c r="C58" s="3">
        <f t="shared" si="0"/>
        <v>0.35599399999999998</v>
      </c>
      <c r="D58" s="3" t="e">
        <f t="shared" si="1"/>
        <v>#N/A</v>
      </c>
      <c r="E58" s="5" cm="1">
        <f t="array" ref="E58">$E$4+(ROW(53:53)-1)*(($F$4-$E$4)/(COUNT($A$6:$A$446)-1))</f>
        <v>1990.0075454545454</v>
      </c>
      <c r="F58" s="5">
        <v>0</v>
      </c>
      <c r="G58" s="3">
        <v>0</v>
      </c>
      <c r="H58" s="3">
        <v>0</v>
      </c>
    </row>
    <row r="59" spans="1:8" x14ac:dyDescent="0.3">
      <c r="A59" s="3">
        <v>1989.32</v>
      </c>
      <c r="B59" s="3">
        <v>-5.8479500000000002E-3</v>
      </c>
      <c r="C59" s="3" t="e">
        <f t="shared" si="0"/>
        <v>#N/A</v>
      </c>
      <c r="D59" s="3">
        <f t="shared" si="1"/>
        <v>-5.8479500000000002E-3</v>
      </c>
      <c r="E59" s="5" cm="1">
        <f t="array" ref="E59">$E$4+(ROW(54:54)-1)*(($F$4-$E$4)/(COUNT($A$6:$A$446)-1))</f>
        <v>1990.0846136363637</v>
      </c>
      <c r="F59" s="5">
        <v>0</v>
      </c>
      <c r="G59" s="3">
        <v>0</v>
      </c>
      <c r="H59" s="3">
        <v>0</v>
      </c>
    </row>
    <row r="60" spans="1:8" x14ac:dyDescent="0.3">
      <c r="A60" s="3">
        <v>1989.43</v>
      </c>
      <c r="B60" s="3">
        <v>-0.15</v>
      </c>
      <c r="C60" s="3" t="e">
        <f t="shared" si="0"/>
        <v>#N/A</v>
      </c>
      <c r="D60" s="3">
        <f t="shared" si="1"/>
        <v>-0.15</v>
      </c>
      <c r="E60" s="5" cm="1">
        <f t="array" ref="E60">$E$4+(ROW(55:55)-1)*(($F$4-$E$4)/(COUNT($A$6:$A$446)-1))</f>
        <v>1990.1616818181819</v>
      </c>
      <c r="F60" s="5">
        <v>0</v>
      </c>
      <c r="G60" s="3">
        <v>0</v>
      </c>
      <c r="H60" s="3">
        <v>0</v>
      </c>
    </row>
    <row r="61" spans="1:8" x14ac:dyDescent="0.3">
      <c r="A61" s="3">
        <v>1989.48</v>
      </c>
      <c r="B61" s="3">
        <v>-0.17</v>
      </c>
      <c r="C61" s="3" t="e">
        <f t="shared" si="0"/>
        <v>#N/A</v>
      </c>
      <c r="D61" s="3">
        <f t="shared" si="1"/>
        <v>-0.17</v>
      </c>
      <c r="E61" s="5" cm="1">
        <f t="array" ref="E61">$E$4+(ROW(56:56)-1)*(($F$4-$E$4)/(COUNT($A$6:$A$446)-1))</f>
        <v>1990.23875</v>
      </c>
      <c r="F61" s="5">
        <v>0</v>
      </c>
      <c r="G61" s="3">
        <v>0</v>
      </c>
      <c r="H61" s="3">
        <v>0</v>
      </c>
    </row>
    <row r="62" spans="1:8" x14ac:dyDescent="0.3">
      <c r="A62" s="3">
        <v>1989.61</v>
      </c>
      <c r="B62" s="3">
        <v>-0.18859600000000001</v>
      </c>
      <c r="C62" s="3" t="e">
        <f t="shared" si="0"/>
        <v>#N/A</v>
      </c>
      <c r="D62" s="3">
        <f t="shared" si="1"/>
        <v>-0.18859600000000001</v>
      </c>
      <c r="E62" s="5" cm="1">
        <f t="array" ref="E62">$E$4+(ROW(57:57)-1)*(($F$4-$E$4)/(COUNT($A$6:$A$446)-1))</f>
        <v>1990.3158181818183</v>
      </c>
      <c r="F62" s="5">
        <v>0</v>
      </c>
      <c r="G62" s="3">
        <v>0</v>
      </c>
      <c r="H62" s="3">
        <v>0</v>
      </c>
    </row>
    <row r="63" spans="1:8" x14ac:dyDescent="0.3">
      <c r="A63" s="3">
        <v>1989.64</v>
      </c>
      <c r="B63" s="3">
        <v>-0.5</v>
      </c>
      <c r="C63" s="3" t="e">
        <f t="shared" si="0"/>
        <v>#N/A</v>
      </c>
      <c r="D63" s="3">
        <f t="shared" si="1"/>
        <v>-0.5</v>
      </c>
      <c r="E63" s="5" cm="1">
        <f t="array" ref="E63">$E$4+(ROW(58:58)-1)*(($F$4-$E$4)/(COUNT($A$6:$A$446)-1))</f>
        <v>1990.3928863636363</v>
      </c>
      <c r="F63" s="5">
        <v>0</v>
      </c>
      <c r="G63" s="3">
        <v>0</v>
      </c>
      <c r="H63" s="3">
        <v>0</v>
      </c>
    </row>
    <row r="64" spans="1:8" x14ac:dyDescent="0.3">
      <c r="A64" s="3">
        <v>1989.67</v>
      </c>
      <c r="B64" s="3">
        <v>-0.2</v>
      </c>
      <c r="C64" s="3" t="e">
        <f t="shared" si="0"/>
        <v>#N/A</v>
      </c>
      <c r="D64" s="3">
        <f t="shared" si="1"/>
        <v>-0.2</v>
      </c>
      <c r="E64" s="5" cm="1">
        <f t="array" ref="E64">$E$4+(ROW(59:59)-1)*(($F$4-$E$4)/(COUNT($A$6:$A$446)-1))</f>
        <v>1990.4699545454546</v>
      </c>
      <c r="F64" s="5">
        <v>0</v>
      </c>
      <c r="G64" s="3">
        <v>0</v>
      </c>
      <c r="H64" s="3">
        <v>0</v>
      </c>
    </row>
    <row r="65" spans="1:8" x14ac:dyDescent="0.3">
      <c r="A65" s="3">
        <v>1989.69</v>
      </c>
      <c r="B65" s="3">
        <v>-0.3</v>
      </c>
      <c r="C65" s="3" t="e">
        <f t="shared" si="0"/>
        <v>#N/A</v>
      </c>
      <c r="D65" s="3">
        <f t="shared" si="1"/>
        <v>-0.3</v>
      </c>
      <c r="E65" s="5" cm="1">
        <f t="array" ref="E65">$E$4+(ROW(60:60)-1)*(($F$4-$E$4)/(COUNT($A$6:$A$446)-1))</f>
        <v>1990.5470227272726</v>
      </c>
      <c r="F65" s="5">
        <v>0</v>
      </c>
      <c r="G65" s="3">
        <v>0</v>
      </c>
      <c r="H65" s="3">
        <v>0</v>
      </c>
    </row>
    <row r="66" spans="1:8" x14ac:dyDescent="0.3">
      <c r="A66" s="3">
        <v>1989.72</v>
      </c>
      <c r="B66" s="3">
        <v>-1.8031200000000001E-2</v>
      </c>
      <c r="C66" s="3" t="e">
        <f t="shared" si="0"/>
        <v>#N/A</v>
      </c>
      <c r="D66" s="3">
        <f t="shared" si="1"/>
        <v>-1.8031200000000001E-2</v>
      </c>
      <c r="E66" s="5" cm="1">
        <f t="array" ref="E66">$E$4+(ROW(61:61)-1)*(($F$4-$E$4)/(COUNT($A$6:$A$446)-1))</f>
        <v>1990.6240909090909</v>
      </c>
      <c r="F66" s="5">
        <v>0</v>
      </c>
      <c r="G66" s="3">
        <v>0</v>
      </c>
      <c r="H66" s="3">
        <v>0</v>
      </c>
    </row>
    <row r="67" spans="1:8" x14ac:dyDescent="0.3">
      <c r="A67" s="3">
        <v>1989.78</v>
      </c>
      <c r="B67" s="3">
        <v>-2.41228E-2</v>
      </c>
      <c r="C67" s="3" t="e">
        <f t="shared" si="0"/>
        <v>#N/A</v>
      </c>
      <c r="D67" s="3">
        <f t="shared" si="1"/>
        <v>-2.41228E-2</v>
      </c>
      <c r="E67" s="5" cm="1">
        <f t="array" ref="E67">$E$4+(ROW(62:62)-1)*(($F$4-$E$4)/(COUNT($A$6:$A$446)-1))</f>
        <v>1990.7011590909092</v>
      </c>
      <c r="F67" s="5">
        <v>0</v>
      </c>
      <c r="G67" s="3">
        <v>0</v>
      </c>
      <c r="H67" s="3">
        <v>0</v>
      </c>
    </row>
    <row r="68" spans="1:8" x14ac:dyDescent="0.3">
      <c r="A68" s="3">
        <v>1989.82</v>
      </c>
      <c r="B68" s="3">
        <v>-0.111842</v>
      </c>
      <c r="C68" s="3" t="e">
        <f t="shared" si="0"/>
        <v>#N/A</v>
      </c>
      <c r="D68" s="3">
        <f t="shared" si="1"/>
        <v>-0.111842</v>
      </c>
      <c r="E68" s="5" cm="1">
        <f t="array" ref="E68">$E$4+(ROW(63:63)-1)*(($F$4-$E$4)/(COUNT($A$6:$A$446)-1))</f>
        <v>1990.7782272727272</v>
      </c>
      <c r="F68" s="5">
        <v>0</v>
      </c>
      <c r="G68" s="3">
        <v>0</v>
      </c>
      <c r="H68" s="3">
        <v>0</v>
      </c>
    </row>
    <row r="69" spans="1:8" x14ac:dyDescent="0.3">
      <c r="A69" s="3">
        <v>1989.9</v>
      </c>
      <c r="B69" s="3">
        <v>-0.46393800000000002</v>
      </c>
      <c r="C69" s="3" t="e">
        <f t="shared" si="0"/>
        <v>#N/A</v>
      </c>
      <c r="D69" s="3">
        <f t="shared" si="1"/>
        <v>-0.46393800000000002</v>
      </c>
      <c r="E69" s="5" cm="1">
        <f t="array" ref="E69">$E$4+(ROW(64:64)-1)*(($F$4-$E$4)/(COUNT($A$6:$A$446)-1))</f>
        <v>1990.8552954545455</v>
      </c>
      <c r="F69" s="5">
        <v>4.2</v>
      </c>
      <c r="G69" s="3">
        <v>-1</v>
      </c>
      <c r="H69" s="3">
        <v>0.05</v>
      </c>
    </row>
    <row r="70" spans="1:8" x14ac:dyDescent="0.3">
      <c r="A70" s="3">
        <v>1989.96</v>
      </c>
      <c r="B70" s="3">
        <v>-0.49805100000000002</v>
      </c>
      <c r="C70" s="3" t="e">
        <f t="shared" si="0"/>
        <v>#N/A</v>
      </c>
      <c r="D70" s="3">
        <f t="shared" si="1"/>
        <v>-0.49805100000000002</v>
      </c>
      <c r="E70" s="5" cm="1">
        <f t="array" ref="E70">$E$4+(ROW(65:65)-1)*(($F$4-$E$4)/(COUNT($A$6:$A$446)-1))</f>
        <v>1990.9323636363636</v>
      </c>
      <c r="F70" s="5">
        <v>4.2</v>
      </c>
      <c r="G70" s="3">
        <v>-1</v>
      </c>
      <c r="H70" s="3">
        <v>0.05</v>
      </c>
    </row>
    <row r="71" spans="1:8" x14ac:dyDescent="0.3">
      <c r="A71" s="3">
        <v>1990.05</v>
      </c>
      <c r="B71" s="3">
        <v>-0.376218</v>
      </c>
      <c r="C71" s="3" t="e">
        <f t="shared" ref="C71:C72" si="2">IF(B71&gt;=$C$4,B71,$D$4)</f>
        <v>#N/A</v>
      </c>
      <c r="D71" s="3">
        <f t="shared" ref="D71:D72" si="3">IF(B71&lt;=$C$4,B71,$D$4)</f>
        <v>-0.376218</v>
      </c>
      <c r="E71" s="5" cm="1">
        <f t="array" ref="E71">$E$4+(ROW(66:66)-1)*(($F$4-$E$4)/(COUNT($A$6:$A$446)-1))</f>
        <v>1991.0094318181818</v>
      </c>
      <c r="F71" s="5">
        <v>4.2</v>
      </c>
      <c r="G71" s="3">
        <v>-1</v>
      </c>
      <c r="H71" s="3">
        <v>0.05</v>
      </c>
    </row>
    <row r="72" spans="1:8" x14ac:dyDescent="0.3">
      <c r="A72" s="3">
        <v>1990.13</v>
      </c>
      <c r="B72" s="3">
        <v>-0.58577000000000001</v>
      </c>
      <c r="C72" s="3" t="e">
        <f t="shared" si="2"/>
        <v>#N/A</v>
      </c>
      <c r="D72" s="3">
        <f t="shared" si="3"/>
        <v>-0.58577000000000001</v>
      </c>
      <c r="E72" s="5" cm="1">
        <f t="array" ref="E72">$E$4+(ROW(67:67)-1)*(($F$4-$E$4)/(COUNT($A$6:$A$446)-1))</f>
        <v>1991.0865000000001</v>
      </c>
      <c r="F72" s="5">
        <v>4.2</v>
      </c>
      <c r="G72" s="3">
        <v>-1</v>
      </c>
      <c r="H72" s="3">
        <v>0.05</v>
      </c>
    </row>
    <row r="73" spans="1:8" x14ac:dyDescent="0.3">
      <c r="A73" s="3">
        <v>1990.19</v>
      </c>
      <c r="B73" s="3">
        <v>0.32675399999999999</v>
      </c>
      <c r="C73" s="3">
        <f t="shared" ref="C73:C134" si="4">IF(B73&gt;=$C$4,B73,$D$4)</f>
        <v>0.32675399999999999</v>
      </c>
      <c r="D73" s="3" t="e">
        <f t="shared" ref="D73:D134" si="5">IF(B73&lt;=$C$4,B73,$D$4)</f>
        <v>#N/A</v>
      </c>
      <c r="E73" s="5" cm="1">
        <f t="array" ref="E73">$E$4+(ROW(68:68)-1)*(($F$4-$E$4)/(COUNT($A$6:$A$446)-1))</f>
        <v>1991.1635681818182</v>
      </c>
      <c r="F73" s="5">
        <v>4.2</v>
      </c>
      <c r="G73" s="3">
        <v>-1</v>
      </c>
      <c r="H73" s="3">
        <v>0.05</v>
      </c>
    </row>
    <row r="74" spans="1:8" x14ac:dyDescent="0.3">
      <c r="A74" s="3">
        <v>1990.36</v>
      </c>
      <c r="B74" s="3">
        <v>0.405945</v>
      </c>
      <c r="C74" s="3">
        <f t="shared" si="4"/>
        <v>0.405945</v>
      </c>
      <c r="D74" s="3" t="e">
        <f t="shared" si="5"/>
        <v>#N/A</v>
      </c>
      <c r="E74" s="5" cm="1">
        <f t="array" ref="E74">$E$4+(ROW(69:69)-1)*(($F$4-$E$4)/(COUNT($A$6:$A$446)-1))</f>
        <v>1991.2406363636364</v>
      </c>
      <c r="F74" s="5">
        <v>4.2</v>
      </c>
      <c r="G74" s="3">
        <v>-1</v>
      </c>
      <c r="H74" s="3">
        <v>0.05</v>
      </c>
    </row>
    <row r="75" spans="1:8" x14ac:dyDescent="0.3">
      <c r="A75" s="3">
        <v>1990.45</v>
      </c>
      <c r="B75" s="3">
        <v>0.49244599999999999</v>
      </c>
      <c r="C75" s="3">
        <f t="shared" si="4"/>
        <v>0.49244599999999999</v>
      </c>
      <c r="D75" s="3" t="e">
        <f t="shared" si="5"/>
        <v>#N/A</v>
      </c>
      <c r="E75" s="5" cm="1">
        <f t="array" ref="E75">$E$4+(ROW(70:70)-1)*(($F$4-$E$4)/(COUNT($A$6:$A$446)-1))</f>
        <v>1991.3177045454545</v>
      </c>
      <c r="F75" s="5">
        <v>4.2</v>
      </c>
      <c r="G75" s="3">
        <v>-1</v>
      </c>
      <c r="H75" s="3">
        <v>0.05</v>
      </c>
    </row>
    <row r="76" spans="1:8" x14ac:dyDescent="0.3">
      <c r="A76" s="3">
        <v>1990.52</v>
      </c>
      <c r="B76" s="3">
        <v>0.58016599999999996</v>
      </c>
      <c r="C76" s="3">
        <f t="shared" si="4"/>
        <v>0.58016599999999996</v>
      </c>
      <c r="D76" s="3" t="e">
        <f t="shared" si="5"/>
        <v>#N/A</v>
      </c>
      <c r="E76" s="5" cm="1">
        <f t="array" ref="E76">$E$4+(ROW(71:71)-1)*(($F$4-$E$4)/(COUNT($A$6:$A$446)-1))</f>
        <v>1991.3947727272728</v>
      </c>
      <c r="F76" s="5">
        <v>4.2</v>
      </c>
      <c r="G76" s="3">
        <v>-1</v>
      </c>
      <c r="H76" s="3">
        <v>0.05</v>
      </c>
    </row>
    <row r="77" spans="1:8" x14ac:dyDescent="0.3">
      <c r="A77" s="3">
        <v>1990.54</v>
      </c>
      <c r="B77" s="3">
        <v>2.1929800000000002E-3</v>
      </c>
      <c r="C77" s="3">
        <f t="shared" si="4"/>
        <v>2.1929800000000002E-3</v>
      </c>
      <c r="D77" s="3" t="e">
        <f t="shared" si="5"/>
        <v>#N/A</v>
      </c>
      <c r="E77" s="5" cm="1">
        <f t="array" ref="E77">$E$4+(ROW(72:72)-1)*(($F$4-$E$4)/(COUNT($A$6:$A$446)-1))</f>
        <v>1991.4718409090908</v>
      </c>
      <c r="F77" s="5">
        <v>4.2</v>
      </c>
      <c r="G77" s="3">
        <v>-1</v>
      </c>
      <c r="H77" s="3">
        <v>0.05</v>
      </c>
    </row>
    <row r="78" spans="1:8" x14ac:dyDescent="0.3">
      <c r="A78" s="3">
        <v>1990.58</v>
      </c>
      <c r="B78" s="3">
        <v>0.66666700000000001</v>
      </c>
      <c r="C78" s="3">
        <f t="shared" si="4"/>
        <v>0.66666700000000001</v>
      </c>
      <c r="D78" s="3" t="e">
        <f t="shared" si="5"/>
        <v>#N/A</v>
      </c>
      <c r="E78" s="5" cm="1">
        <f t="array" ref="E78">$E$4+(ROW(73:73)-1)*(($F$4-$E$4)/(COUNT($A$6:$A$446)-1))</f>
        <v>1991.5489090909091</v>
      </c>
      <c r="F78" s="5">
        <v>4.2</v>
      </c>
      <c r="G78" s="3">
        <v>-1</v>
      </c>
      <c r="H78" s="3">
        <v>0.05</v>
      </c>
    </row>
    <row r="79" spans="1:8" x14ac:dyDescent="0.3">
      <c r="A79" s="3">
        <v>1990.61</v>
      </c>
      <c r="B79" s="3">
        <v>0.754386</v>
      </c>
      <c r="C79" s="3">
        <f t="shared" si="4"/>
        <v>0.754386</v>
      </c>
      <c r="D79" s="3" t="e">
        <f t="shared" si="5"/>
        <v>#N/A</v>
      </c>
      <c r="E79" s="5" cm="1">
        <f t="array" ref="E79">$E$4+(ROW(74:74)-1)*(($F$4-$E$4)/(COUNT($A$6:$A$446)-1))</f>
        <v>1991.6259772727274</v>
      </c>
      <c r="F79" s="5">
        <v>0</v>
      </c>
      <c r="G79" s="3">
        <v>0</v>
      </c>
      <c r="H79" s="3">
        <v>0</v>
      </c>
    </row>
    <row r="80" spans="1:8" x14ac:dyDescent="0.3">
      <c r="A80" s="3">
        <v>1990.62</v>
      </c>
      <c r="B80" s="3">
        <v>0.84210499999999999</v>
      </c>
      <c r="C80" s="3">
        <f t="shared" si="4"/>
        <v>0.84210499999999999</v>
      </c>
      <c r="D80" s="3" t="e">
        <f t="shared" si="5"/>
        <v>#N/A</v>
      </c>
      <c r="E80" s="5" cm="1">
        <f t="array" ref="E80">$E$4+(ROW(75:75)-1)*(($F$4-$E$4)/(COUNT($A$6:$A$446)-1))</f>
        <v>1991.7030454545454</v>
      </c>
      <c r="F80" s="5">
        <v>0</v>
      </c>
      <c r="G80" s="3">
        <v>0</v>
      </c>
      <c r="H80" s="3">
        <v>0</v>
      </c>
    </row>
    <row r="81" spans="1:8" x14ac:dyDescent="0.3">
      <c r="A81" s="3">
        <v>1990.73</v>
      </c>
      <c r="B81" s="3">
        <v>0.92738799999999999</v>
      </c>
      <c r="C81" s="3">
        <f t="shared" si="4"/>
        <v>0.92738799999999999</v>
      </c>
      <c r="D81" s="3" t="e">
        <f t="shared" si="5"/>
        <v>#N/A</v>
      </c>
      <c r="E81" s="5" cm="1">
        <f t="array" ref="E81">$E$4+(ROW(76:76)-1)*(($F$4-$E$4)/(COUNT($A$6:$A$446)-1))</f>
        <v>1991.7801136363637</v>
      </c>
      <c r="F81" s="5">
        <v>0</v>
      </c>
      <c r="G81" s="3">
        <v>0</v>
      </c>
      <c r="H81" s="3">
        <v>0</v>
      </c>
    </row>
    <row r="82" spans="1:8" x14ac:dyDescent="0.3">
      <c r="A82" s="3">
        <v>1990.88</v>
      </c>
      <c r="B82" s="3">
        <v>0.95662800000000003</v>
      </c>
      <c r="C82" s="3">
        <f t="shared" si="4"/>
        <v>0.95662800000000003</v>
      </c>
      <c r="D82" s="3" t="e">
        <f t="shared" si="5"/>
        <v>#N/A</v>
      </c>
      <c r="E82" s="5" cm="1">
        <f t="array" ref="E82">$E$4+(ROW(77:77)-1)*(($F$4-$E$4)/(COUNT($A$6:$A$446)-1))</f>
        <v>1991.8571818181817</v>
      </c>
      <c r="F82" s="5">
        <v>0</v>
      </c>
      <c r="G82" s="3">
        <v>0</v>
      </c>
      <c r="H82" s="3">
        <v>0</v>
      </c>
    </row>
    <row r="83" spans="1:8" x14ac:dyDescent="0.3">
      <c r="A83" s="3">
        <v>1990.93</v>
      </c>
      <c r="B83" s="3">
        <v>1.0431299999999999</v>
      </c>
      <c r="C83" s="3">
        <f t="shared" si="4"/>
        <v>1.0431299999999999</v>
      </c>
      <c r="D83" s="3" t="e">
        <f t="shared" si="5"/>
        <v>#N/A</v>
      </c>
      <c r="E83" s="5" cm="1">
        <f t="array" ref="E83">$E$4+(ROW(78:78)-1)*(($F$4-$E$4)/(COUNT($A$6:$A$446)-1))</f>
        <v>1991.93425</v>
      </c>
      <c r="F83" s="5">
        <v>0</v>
      </c>
      <c r="G83" s="3">
        <v>0</v>
      </c>
      <c r="H83" s="3">
        <v>0</v>
      </c>
    </row>
    <row r="84" spans="1:8" x14ac:dyDescent="0.3">
      <c r="A84" s="3">
        <v>1990.94</v>
      </c>
      <c r="B84" s="3">
        <v>1.5584800000000001</v>
      </c>
      <c r="C84" s="3">
        <f t="shared" si="4"/>
        <v>1.5584800000000001</v>
      </c>
      <c r="D84" s="3" t="e">
        <f t="shared" si="5"/>
        <v>#N/A</v>
      </c>
      <c r="E84" s="5" cm="1">
        <f t="array" ref="E84">$E$4+(ROW(79:79)-1)*(($F$4-$E$4)/(COUNT($A$6:$A$446)-1))</f>
        <v>1992.0113181818183</v>
      </c>
      <c r="F84" s="5">
        <v>0</v>
      </c>
      <c r="G84" s="3">
        <v>0</v>
      </c>
      <c r="H84" s="3">
        <v>0</v>
      </c>
    </row>
    <row r="85" spans="1:8" x14ac:dyDescent="0.3">
      <c r="A85" s="3">
        <v>1990.95</v>
      </c>
      <c r="B85" s="3">
        <v>4.62963E-3</v>
      </c>
      <c r="C85" s="3">
        <f t="shared" si="4"/>
        <v>4.62963E-3</v>
      </c>
      <c r="D85" s="3" t="e">
        <f t="shared" si="5"/>
        <v>#N/A</v>
      </c>
      <c r="E85" s="5" cm="1">
        <f t="array" ref="E85">$E$4+(ROW(80:80)-1)*(($F$4-$E$4)/(COUNT($A$6:$A$446)-1))</f>
        <v>1992.0883863636363</v>
      </c>
      <c r="F85" s="5">
        <v>0</v>
      </c>
      <c r="G85" s="3">
        <v>0</v>
      </c>
      <c r="H85" s="3">
        <v>0</v>
      </c>
    </row>
    <row r="86" spans="1:8" x14ac:dyDescent="0.3">
      <c r="A86" s="3">
        <v>1990.97</v>
      </c>
      <c r="B86" s="3">
        <v>1.1296299999999999</v>
      </c>
      <c r="C86" s="3">
        <f t="shared" si="4"/>
        <v>1.1296299999999999</v>
      </c>
      <c r="D86" s="3" t="e">
        <f t="shared" si="5"/>
        <v>#N/A</v>
      </c>
      <c r="E86" s="5" cm="1">
        <f t="array" ref="E86">$E$4+(ROW(81:81)-1)*(($F$4-$E$4)/(COUNT($A$6:$A$446)-1))</f>
        <v>1992.1654545454546</v>
      </c>
      <c r="F86" s="5">
        <v>0</v>
      </c>
      <c r="G86" s="3">
        <v>0</v>
      </c>
      <c r="H86" s="3">
        <v>0</v>
      </c>
    </row>
    <row r="87" spans="1:8" x14ac:dyDescent="0.3">
      <c r="A87" s="3">
        <v>1990.99</v>
      </c>
      <c r="B87" s="3">
        <v>1.2161299999999999</v>
      </c>
      <c r="C87" s="3">
        <f t="shared" si="4"/>
        <v>1.2161299999999999</v>
      </c>
      <c r="D87" s="3" t="e">
        <f t="shared" si="5"/>
        <v>#N/A</v>
      </c>
      <c r="E87" s="5" cm="1">
        <f t="array" ref="E87">$E$4+(ROW(82:82)-1)*(($F$4-$E$4)/(COUNT($A$6:$A$446)-1))</f>
        <v>1992.2425227272727</v>
      </c>
      <c r="F87" s="5">
        <v>0</v>
      </c>
      <c r="G87" s="3">
        <v>0</v>
      </c>
      <c r="H87" s="3">
        <v>0</v>
      </c>
    </row>
    <row r="88" spans="1:8" x14ac:dyDescent="0.3">
      <c r="A88" s="3">
        <v>1991.01</v>
      </c>
      <c r="B88" s="3">
        <v>1.30263</v>
      </c>
      <c r="C88" s="3">
        <f t="shared" si="4"/>
        <v>1.30263</v>
      </c>
      <c r="D88" s="3" t="e">
        <f t="shared" si="5"/>
        <v>#N/A</v>
      </c>
      <c r="E88" s="5" cm="1">
        <f t="array" ref="E88">$E$4+(ROW(83:83)-1)*(($F$4-$E$4)/(COUNT($A$6:$A$446)-1))</f>
        <v>1992.3195909090909</v>
      </c>
      <c r="F88" s="5">
        <v>0</v>
      </c>
      <c r="G88" s="3">
        <v>0</v>
      </c>
      <c r="H88" s="3">
        <v>0</v>
      </c>
    </row>
    <row r="89" spans="1:8" x14ac:dyDescent="0.3">
      <c r="A89" s="3">
        <v>1991.03</v>
      </c>
      <c r="B89" s="3">
        <v>0.98830399999999996</v>
      </c>
      <c r="C89" s="3">
        <f t="shared" si="4"/>
        <v>0.98830399999999996</v>
      </c>
      <c r="D89" s="3" t="e">
        <f t="shared" si="5"/>
        <v>#N/A</v>
      </c>
      <c r="E89" s="5" cm="1">
        <f t="array" ref="E89">$E$4+(ROW(84:84)-1)*(($F$4-$E$4)/(COUNT($A$6:$A$446)-1))</f>
        <v>1992.396659090909</v>
      </c>
      <c r="F89" s="5">
        <v>0</v>
      </c>
      <c r="G89" s="3">
        <v>0</v>
      </c>
      <c r="H89" s="3">
        <v>0</v>
      </c>
    </row>
    <row r="90" spans="1:8" x14ac:dyDescent="0.3">
      <c r="A90" s="3">
        <v>1991.05</v>
      </c>
      <c r="B90" s="3">
        <v>1.39035</v>
      </c>
      <c r="C90" s="3">
        <f t="shared" si="4"/>
        <v>1.39035</v>
      </c>
      <c r="D90" s="3" t="e">
        <f t="shared" si="5"/>
        <v>#N/A</v>
      </c>
      <c r="E90" s="5" cm="1">
        <f t="array" ref="E90">$E$4+(ROW(85:85)-1)*(($F$4-$E$4)/(COUNT($A$6:$A$446)-1))</f>
        <v>1992.4737272727273</v>
      </c>
      <c r="F90" s="5">
        <v>0</v>
      </c>
      <c r="G90" s="3">
        <v>0</v>
      </c>
      <c r="H90" s="3">
        <v>0</v>
      </c>
    </row>
    <row r="91" spans="1:8" x14ac:dyDescent="0.3">
      <c r="A91" s="3">
        <v>1991.09</v>
      </c>
      <c r="B91" s="3">
        <v>1.47807</v>
      </c>
      <c r="C91" s="3">
        <f t="shared" si="4"/>
        <v>1.47807</v>
      </c>
      <c r="D91" s="3" t="e">
        <f t="shared" si="5"/>
        <v>#N/A</v>
      </c>
      <c r="E91" s="5" cm="1">
        <f t="array" ref="E91">$E$4+(ROW(86:86)-1)*(($F$4-$E$4)/(COUNT($A$6:$A$446)-1))</f>
        <v>1992.5507954545456</v>
      </c>
      <c r="F91" s="5">
        <v>0</v>
      </c>
      <c r="G91" s="3">
        <v>0</v>
      </c>
      <c r="H91" s="3">
        <v>0</v>
      </c>
    </row>
    <row r="92" spans="1:8" x14ac:dyDescent="0.3">
      <c r="A92" s="3">
        <v>1991.19</v>
      </c>
      <c r="B92" s="3">
        <v>1.56335</v>
      </c>
      <c r="C92" s="3">
        <f t="shared" si="4"/>
        <v>1.56335</v>
      </c>
      <c r="D92" s="3" t="e">
        <f t="shared" si="5"/>
        <v>#N/A</v>
      </c>
      <c r="E92" s="5" cm="1">
        <f t="array" ref="E92">$E$4+(ROW(87:87)-1)*(($F$4-$E$4)/(COUNT($A$6:$A$446)-1))</f>
        <v>1992.6278636363636</v>
      </c>
      <c r="F92" s="5">
        <v>0</v>
      </c>
      <c r="G92" s="3">
        <v>0</v>
      </c>
      <c r="H92" s="3">
        <v>0</v>
      </c>
    </row>
    <row r="93" spans="1:8" x14ac:dyDescent="0.3">
      <c r="A93" s="3">
        <v>1991.26</v>
      </c>
      <c r="B93" s="3">
        <v>1.64985</v>
      </c>
      <c r="C93" s="3">
        <f t="shared" si="4"/>
        <v>1.64985</v>
      </c>
      <c r="D93" s="3" t="e">
        <f t="shared" si="5"/>
        <v>#N/A</v>
      </c>
      <c r="E93" s="5" cm="1">
        <f t="array" ref="E93">$E$4+(ROW(88:88)-1)*(($F$4-$E$4)/(COUNT($A$6:$A$446)-1))</f>
        <v>1992.7049318181819</v>
      </c>
      <c r="F93" s="5">
        <v>0</v>
      </c>
      <c r="G93" s="3">
        <v>0</v>
      </c>
      <c r="H93" s="3">
        <v>0</v>
      </c>
    </row>
    <row r="94" spans="1:8" x14ac:dyDescent="0.3">
      <c r="A94" s="3">
        <v>1991.29</v>
      </c>
      <c r="B94" s="3">
        <v>1.7375700000000001</v>
      </c>
      <c r="C94" s="3">
        <f t="shared" si="4"/>
        <v>1.7375700000000001</v>
      </c>
      <c r="D94" s="3" t="e">
        <f t="shared" si="5"/>
        <v>#N/A</v>
      </c>
      <c r="E94" s="5" cm="1">
        <f t="array" ref="E94">$E$4+(ROW(89:89)-1)*(($F$4-$E$4)/(COUNT($A$6:$A$446)-1))</f>
        <v>1992.7819999999999</v>
      </c>
      <c r="F94" s="5">
        <v>0</v>
      </c>
      <c r="G94" s="3">
        <v>0</v>
      </c>
      <c r="H94" s="3">
        <v>0</v>
      </c>
    </row>
    <row r="95" spans="1:8" x14ac:dyDescent="0.3">
      <c r="A95" s="3">
        <v>1991.32</v>
      </c>
      <c r="B95" s="3">
        <v>1.8252900000000001</v>
      </c>
      <c r="C95" s="3">
        <f t="shared" si="4"/>
        <v>1.8252900000000001</v>
      </c>
      <c r="D95" s="3" t="e">
        <f t="shared" si="5"/>
        <v>#N/A</v>
      </c>
      <c r="E95" s="5" cm="1">
        <f t="array" ref="E95">$E$4+(ROW(90:90)-1)*(($F$4-$E$4)/(COUNT($A$6:$A$446)-1))</f>
        <v>1992.8590681818182</v>
      </c>
      <c r="F95" s="5">
        <v>0</v>
      </c>
      <c r="G95" s="3">
        <v>0</v>
      </c>
      <c r="H95" s="3">
        <v>0</v>
      </c>
    </row>
    <row r="96" spans="1:8" x14ac:dyDescent="0.3">
      <c r="A96" s="3">
        <v>1991.34</v>
      </c>
      <c r="B96" s="3">
        <v>1.9130100000000001</v>
      </c>
      <c r="C96" s="3">
        <f t="shared" si="4"/>
        <v>1.9130100000000001</v>
      </c>
      <c r="D96" s="3" t="e">
        <f t="shared" si="5"/>
        <v>#N/A</v>
      </c>
      <c r="E96" s="5" cm="1">
        <f t="array" ref="E96">$E$4+(ROW(91:91)-1)*(($F$4-$E$4)/(COUNT($A$6:$A$446)-1))</f>
        <v>1992.9361363636365</v>
      </c>
      <c r="F96" s="5">
        <v>0</v>
      </c>
      <c r="G96" s="3">
        <v>0</v>
      </c>
      <c r="H96" s="3">
        <v>0</v>
      </c>
    </row>
    <row r="97" spans="1:8" x14ac:dyDescent="0.3">
      <c r="A97" s="3">
        <v>1991.38</v>
      </c>
      <c r="B97" s="3">
        <v>2.0007299999999999</v>
      </c>
      <c r="C97" s="3">
        <f t="shared" si="4"/>
        <v>2.0007299999999999</v>
      </c>
      <c r="D97" s="3" t="e">
        <f t="shared" si="5"/>
        <v>#N/A</v>
      </c>
      <c r="E97" s="5" cm="1">
        <f t="array" ref="E97">$E$4+(ROW(92:92)-1)*(($F$4-$E$4)/(COUNT($A$6:$A$446)-1))</f>
        <v>1993.0132045454545</v>
      </c>
      <c r="F97" s="5">
        <v>0</v>
      </c>
      <c r="G97" s="3">
        <v>0</v>
      </c>
      <c r="H97" s="3">
        <v>0</v>
      </c>
    </row>
    <row r="98" spans="1:8" x14ac:dyDescent="0.3">
      <c r="A98" s="3">
        <v>1991.41</v>
      </c>
      <c r="B98" s="3">
        <v>2.0896699999999999</v>
      </c>
      <c r="C98" s="3">
        <f t="shared" si="4"/>
        <v>2.0896699999999999</v>
      </c>
      <c r="D98" s="3" t="e">
        <f t="shared" si="5"/>
        <v>#N/A</v>
      </c>
      <c r="E98" s="5" cm="1">
        <f t="array" ref="E98">$E$4+(ROW(93:93)-1)*(($F$4-$E$4)/(COUNT($A$6:$A$446)-1))</f>
        <v>1993.0902727272728</v>
      </c>
      <c r="F98" s="5">
        <v>0</v>
      </c>
      <c r="G98" s="3">
        <v>0</v>
      </c>
      <c r="H98" s="3">
        <v>0</v>
      </c>
    </row>
    <row r="99" spans="1:8" x14ac:dyDescent="0.3">
      <c r="A99" s="3">
        <v>1991.44</v>
      </c>
      <c r="B99" s="3">
        <v>2.1798199999999999</v>
      </c>
      <c r="C99" s="3">
        <f t="shared" si="4"/>
        <v>2.1798199999999999</v>
      </c>
      <c r="D99" s="3" t="e">
        <f t="shared" si="5"/>
        <v>#N/A</v>
      </c>
      <c r="E99" s="5" cm="1">
        <f t="array" ref="E99">$E$4+(ROW(94:94)-1)*(($F$4-$E$4)/(COUNT($A$6:$A$446)-1))</f>
        <v>1993.1673409090909</v>
      </c>
      <c r="F99" s="5">
        <v>0</v>
      </c>
      <c r="G99" s="3">
        <v>0</v>
      </c>
      <c r="H99" s="3">
        <v>0</v>
      </c>
    </row>
    <row r="100" spans="1:8" x14ac:dyDescent="0.3">
      <c r="A100" s="3">
        <v>1991.55</v>
      </c>
      <c r="B100" s="3">
        <v>2.26145</v>
      </c>
      <c r="C100" s="3">
        <f t="shared" si="4"/>
        <v>2.26145</v>
      </c>
      <c r="D100" s="3" t="e">
        <f t="shared" si="5"/>
        <v>#N/A</v>
      </c>
      <c r="E100" s="5" cm="1">
        <f t="array" ref="E100">$E$4+(ROW(95:95)-1)*(($F$4-$E$4)/(COUNT($A$6:$A$446)-1))</f>
        <v>1993.2444090909091</v>
      </c>
      <c r="F100" s="5">
        <v>0</v>
      </c>
      <c r="G100" s="3">
        <v>0</v>
      </c>
      <c r="H100" s="3">
        <v>0</v>
      </c>
    </row>
    <row r="101" spans="1:8" x14ac:dyDescent="0.3">
      <c r="A101" s="3">
        <v>1991.73</v>
      </c>
      <c r="B101" s="3">
        <v>2.2772899999999998</v>
      </c>
      <c r="C101" s="3">
        <f t="shared" si="4"/>
        <v>2.2772899999999998</v>
      </c>
      <c r="D101" s="3" t="e">
        <f t="shared" si="5"/>
        <v>#N/A</v>
      </c>
      <c r="E101" s="5" cm="1">
        <f t="array" ref="E101">$E$4+(ROW(96:96)-1)*(($F$4-$E$4)/(COUNT($A$6:$A$446)-1))</f>
        <v>1993.3214772727272</v>
      </c>
      <c r="F101" s="5">
        <v>0</v>
      </c>
      <c r="G101" s="3">
        <v>0</v>
      </c>
      <c r="H101" s="3">
        <v>0</v>
      </c>
    </row>
    <row r="102" spans="1:8" x14ac:dyDescent="0.3">
      <c r="A102" s="3">
        <v>1991.81</v>
      </c>
      <c r="B102" s="3">
        <v>2.3637899999999998</v>
      </c>
      <c r="C102" s="3">
        <f t="shared" si="4"/>
        <v>2.3637899999999998</v>
      </c>
      <c r="D102" s="3" t="e">
        <f t="shared" si="5"/>
        <v>#N/A</v>
      </c>
      <c r="E102" s="5" cm="1">
        <f t="array" ref="E102">$E$4+(ROW(97:97)-1)*(($F$4-$E$4)/(COUNT($A$6:$A$446)-1))</f>
        <v>1993.3985454545455</v>
      </c>
      <c r="F102" s="5">
        <v>0</v>
      </c>
      <c r="G102" s="3">
        <v>0</v>
      </c>
      <c r="H102" s="3">
        <v>0</v>
      </c>
    </row>
    <row r="103" spans="1:8" x14ac:dyDescent="0.3">
      <c r="A103" s="3">
        <v>1991.83</v>
      </c>
      <c r="B103" s="3">
        <v>2.4515099999999999</v>
      </c>
      <c r="C103" s="3">
        <f t="shared" si="4"/>
        <v>2.4515099999999999</v>
      </c>
      <c r="D103" s="3" t="e">
        <f t="shared" si="5"/>
        <v>#N/A</v>
      </c>
      <c r="E103" s="5" cm="1">
        <f t="array" ref="E103">$E$4+(ROW(98:98)-1)*(($F$4-$E$4)/(COUNT($A$6:$A$446)-1))</f>
        <v>1993.4756136363637</v>
      </c>
      <c r="F103" s="5">
        <v>0</v>
      </c>
      <c r="G103" s="3">
        <v>0</v>
      </c>
      <c r="H103" s="3">
        <v>0</v>
      </c>
    </row>
    <row r="104" spans="1:8" x14ac:dyDescent="0.3">
      <c r="A104" s="3">
        <v>1991.87</v>
      </c>
      <c r="B104" s="3">
        <v>2.3174999999999999</v>
      </c>
      <c r="C104" s="3">
        <f t="shared" si="4"/>
        <v>2.3174999999999999</v>
      </c>
      <c r="D104" s="3" t="e">
        <f t="shared" si="5"/>
        <v>#N/A</v>
      </c>
      <c r="E104" s="5" cm="1">
        <f t="array" ref="E104">$E$4+(ROW(99:99)-1)*(($F$4-$E$4)/(COUNT($A$6:$A$446)-1))</f>
        <v>1993.5526818181818</v>
      </c>
      <c r="F104" s="5">
        <v>0</v>
      </c>
      <c r="G104" s="3">
        <v>0</v>
      </c>
      <c r="H104" s="3">
        <v>0</v>
      </c>
    </row>
    <row r="105" spans="1:8" x14ac:dyDescent="0.3">
      <c r="A105" s="3">
        <v>1991.87</v>
      </c>
      <c r="B105" s="3">
        <v>2.5355799999999999</v>
      </c>
      <c r="C105" s="3">
        <f t="shared" si="4"/>
        <v>2.5355799999999999</v>
      </c>
      <c r="D105" s="3" t="e">
        <f t="shared" si="5"/>
        <v>#N/A</v>
      </c>
      <c r="E105" s="5" cm="1">
        <f t="array" ref="E105">$E$4+(ROW(100:100)-1)*(($F$4-$E$4)/(COUNT($A$6:$A$446)-1))</f>
        <v>1993.6297500000001</v>
      </c>
      <c r="F105" s="5">
        <v>0</v>
      </c>
      <c r="G105" s="3">
        <v>0</v>
      </c>
      <c r="H105" s="3">
        <v>0</v>
      </c>
    </row>
    <row r="106" spans="1:8" x14ac:dyDescent="0.3">
      <c r="A106" s="3">
        <v>1991.98</v>
      </c>
      <c r="B106" s="3">
        <v>2.6172</v>
      </c>
      <c r="C106" s="3">
        <f t="shared" si="4"/>
        <v>2.6172</v>
      </c>
      <c r="D106" s="3" t="e">
        <f t="shared" si="5"/>
        <v>#N/A</v>
      </c>
      <c r="E106" s="5" cm="1">
        <f t="array" ref="E106">$E$4+(ROW(101:101)-1)*(($F$4-$E$4)/(COUNT($A$6:$A$446)-1))</f>
        <v>1993.7068181818181</v>
      </c>
      <c r="F106" s="5">
        <v>0</v>
      </c>
      <c r="G106" s="3">
        <v>0</v>
      </c>
      <c r="H106" s="3">
        <v>0</v>
      </c>
    </row>
    <row r="107" spans="1:8" x14ac:dyDescent="0.3">
      <c r="A107" s="3">
        <v>1992.1</v>
      </c>
      <c r="B107" s="3">
        <v>2.6988300000000001</v>
      </c>
      <c r="C107" s="3">
        <f t="shared" si="4"/>
        <v>2.6988300000000001</v>
      </c>
      <c r="D107" s="3" t="e">
        <f t="shared" si="5"/>
        <v>#N/A</v>
      </c>
      <c r="E107" s="5" cm="1">
        <f t="array" ref="E107">$E$4+(ROW(102:102)-1)*(($F$4-$E$4)/(COUNT($A$6:$A$446)-1))</f>
        <v>1993.7838863636364</v>
      </c>
      <c r="F107" s="5">
        <v>0</v>
      </c>
      <c r="G107" s="3">
        <v>0</v>
      </c>
      <c r="H107" s="3">
        <v>0</v>
      </c>
    </row>
    <row r="108" spans="1:8" x14ac:dyDescent="0.3">
      <c r="A108" s="3">
        <v>1992.2</v>
      </c>
      <c r="B108" s="3">
        <v>2.7841100000000001</v>
      </c>
      <c r="C108" s="3">
        <f t="shared" si="4"/>
        <v>2.7841100000000001</v>
      </c>
      <c r="D108" s="3" t="e">
        <f t="shared" si="5"/>
        <v>#N/A</v>
      </c>
      <c r="E108" s="5" cm="1">
        <f t="array" ref="E108">$E$4+(ROW(103:103)-1)*(($F$4-$E$4)/(COUNT($A$6:$A$446)-1))</f>
        <v>1993.8609545454547</v>
      </c>
      <c r="F108" s="5">
        <v>0</v>
      </c>
      <c r="G108" s="3">
        <v>0</v>
      </c>
      <c r="H108" s="3">
        <v>0</v>
      </c>
    </row>
    <row r="109" spans="1:8" x14ac:dyDescent="0.3">
      <c r="A109" s="3">
        <v>1992.24</v>
      </c>
      <c r="B109" s="3">
        <v>2.8718300000000001</v>
      </c>
      <c r="C109" s="3">
        <f t="shared" si="4"/>
        <v>2.8718300000000001</v>
      </c>
      <c r="D109" s="3" t="e">
        <f t="shared" si="5"/>
        <v>#N/A</v>
      </c>
      <c r="E109" s="5" cm="1">
        <f t="array" ref="E109">$E$4+(ROW(104:104)-1)*(($F$4-$E$4)/(COUNT($A$6:$A$446)-1))</f>
        <v>1993.9380227272727</v>
      </c>
      <c r="F109" s="5">
        <v>0</v>
      </c>
      <c r="G109" s="3">
        <v>0</v>
      </c>
      <c r="H109" s="3">
        <v>0</v>
      </c>
    </row>
    <row r="110" spans="1:8" x14ac:dyDescent="0.3">
      <c r="A110" s="3">
        <v>1992.27</v>
      </c>
      <c r="B110" s="3">
        <v>2.9595500000000001</v>
      </c>
      <c r="C110" s="3">
        <f t="shared" si="4"/>
        <v>2.9595500000000001</v>
      </c>
      <c r="D110" s="3" t="e">
        <f t="shared" si="5"/>
        <v>#N/A</v>
      </c>
      <c r="E110" s="5" cm="1">
        <f t="array" ref="E110">$E$4+(ROW(105:105)-1)*(($F$4-$E$4)/(COUNT($A$6:$A$446)-1))</f>
        <v>1994.015090909091</v>
      </c>
      <c r="F110" s="5">
        <v>0</v>
      </c>
      <c r="G110" s="3">
        <v>0</v>
      </c>
      <c r="H110" s="3">
        <v>0</v>
      </c>
    </row>
    <row r="111" spans="1:8" x14ac:dyDescent="0.3">
      <c r="A111" s="3">
        <v>1992.29</v>
      </c>
      <c r="B111" s="3">
        <v>3.0472700000000001</v>
      </c>
      <c r="C111" s="3">
        <f t="shared" si="4"/>
        <v>3.0472700000000001</v>
      </c>
      <c r="D111" s="3" t="e">
        <f t="shared" si="5"/>
        <v>#N/A</v>
      </c>
      <c r="E111" s="5" cm="1">
        <f t="array" ref="E111">$E$4+(ROW(106:106)-1)*(($F$4-$E$4)/(COUNT($A$6:$A$446)-1))</f>
        <v>1994.092159090909</v>
      </c>
      <c r="F111" s="5">
        <v>0</v>
      </c>
      <c r="G111" s="3">
        <v>0</v>
      </c>
      <c r="H111" s="3">
        <v>0</v>
      </c>
    </row>
    <row r="112" spans="1:8" x14ac:dyDescent="0.3">
      <c r="A112" s="3">
        <v>1992.31</v>
      </c>
      <c r="B112" s="3">
        <v>3.1362100000000002</v>
      </c>
      <c r="C112" s="3">
        <f t="shared" si="4"/>
        <v>3.1362100000000002</v>
      </c>
      <c r="D112" s="3" t="e">
        <f t="shared" si="5"/>
        <v>#N/A</v>
      </c>
      <c r="E112" s="5" cm="1">
        <f t="array" ref="E112">$E$4+(ROW(107:107)-1)*(($F$4-$E$4)/(COUNT($A$6:$A$446)-1))</f>
        <v>1994.1692272727273</v>
      </c>
      <c r="F112" s="5">
        <v>0</v>
      </c>
      <c r="G112" s="3">
        <v>0</v>
      </c>
      <c r="H112" s="3">
        <v>0</v>
      </c>
    </row>
    <row r="113" spans="1:8" x14ac:dyDescent="0.3">
      <c r="A113" s="3">
        <v>1992.35</v>
      </c>
      <c r="B113" s="3">
        <v>3.2239300000000002</v>
      </c>
      <c r="C113" s="3">
        <f t="shared" si="4"/>
        <v>3.2239300000000002</v>
      </c>
      <c r="D113" s="3" t="e">
        <f t="shared" si="5"/>
        <v>#N/A</v>
      </c>
      <c r="E113" s="5" cm="1">
        <f t="array" ref="E113">$E$4+(ROW(108:108)-1)*(($F$4-$E$4)/(COUNT($A$6:$A$446)-1))</f>
        <v>1994.2462954545454</v>
      </c>
      <c r="F113" s="5">
        <v>0</v>
      </c>
      <c r="G113" s="3">
        <v>0</v>
      </c>
      <c r="H113" s="3">
        <v>0</v>
      </c>
    </row>
    <row r="114" spans="1:8" x14ac:dyDescent="0.3">
      <c r="A114" s="3">
        <v>1992.47</v>
      </c>
      <c r="B114" s="3">
        <v>3.3055599999999998</v>
      </c>
      <c r="C114" s="3">
        <f t="shared" si="4"/>
        <v>3.3055599999999998</v>
      </c>
      <c r="D114" s="3" t="e">
        <f t="shared" si="5"/>
        <v>#N/A</v>
      </c>
      <c r="E114" s="5" cm="1">
        <f t="array" ref="E114">$E$4+(ROW(109:109)-1)*(($F$4-$E$4)/(COUNT($A$6:$A$446)-1))</f>
        <v>1994.3233636363636</v>
      </c>
      <c r="F114" s="5">
        <v>0</v>
      </c>
      <c r="G114" s="3">
        <v>0</v>
      </c>
      <c r="H114" s="3">
        <v>0</v>
      </c>
    </row>
    <row r="115" spans="1:8" x14ac:dyDescent="0.3">
      <c r="A115" s="3">
        <v>1992.67</v>
      </c>
      <c r="B115" s="3">
        <v>3.3798699999999999</v>
      </c>
      <c r="C115" s="3">
        <f t="shared" si="4"/>
        <v>3.3798699999999999</v>
      </c>
      <c r="D115" s="3" t="e">
        <f t="shared" si="5"/>
        <v>#N/A</v>
      </c>
      <c r="E115" s="5" cm="1">
        <f t="array" ref="E115">$E$4+(ROW(110:110)-1)*(($F$4-$E$4)/(COUNT($A$6:$A$446)-1))</f>
        <v>1994.4004318181819</v>
      </c>
      <c r="F115" s="5">
        <v>0</v>
      </c>
      <c r="G115" s="3">
        <v>0</v>
      </c>
      <c r="H115" s="3">
        <v>0</v>
      </c>
    </row>
    <row r="116" spans="1:8" x14ac:dyDescent="0.3">
      <c r="A116" s="3">
        <v>1992.69</v>
      </c>
      <c r="B116" s="3">
        <v>3.5748099999999998</v>
      </c>
      <c r="C116" s="3">
        <f t="shared" si="4"/>
        <v>3.5748099999999998</v>
      </c>
      <c r="D116" s="3" t="e">
        <f t="shared" si="5"/>
        <v>#N/A</v>
      </c>
      <c r="E116" s="5" cm="1">
        <f t="array" ref="E116">$E$4+(ROW(111:111)-1)*(($F$4-$E$4)/(COUNT($A$6:$A$446)-1))</f>
        <v>1994.4775</v>
      </c>
      <c r="F116" s="5">
        <v>0</v>
      </c>
      <c r="G116" s="3">
        <v>0</v>
      </c>
      <c r="H116" s="3">
        <v>0</v>
      </c>
    </row>
    <row r="117" spans="1:8" x14ac:dyDescent="0.3">
      <c r="A117" s="3">
        <v>1992.94</v>
      </c>
      <c r="B117" s="3">
        <v>3.4468800000000002</v>
      </c>
      <c r="C117" s="3">
        <f t="shared" si="4"/>
        <v>3.4468800000000002</v>
      </c>
      <c r="D117" s="3" t="e">
        <f t="shared" si="5"/>
        <v>#N/A</v>
      </c>
      <c r="E117" s="5" cm="1">
        <f t="array" ref="E117">$E$4+(ROW(112:112)-1)*(($F$4-$E$4)/(COUNT($A$6:$A$446)-1))</f>
        <v>1994.5545681818182</v>
      </c>
      <c r="F117" s="5">
        <v>0</v>
      </c>
      <c r="G117" s="3">
        <v>0</v>
      </c>
      <c r="H117" s="3">
        <v>0</v>
      </c>
    </row>
    <row r="118" spans="1:8" x14ac:dyDescent="0.3">
      <c r="A118" s="3">
        <v>1993.08</v>
      </c>
      <c r="B118" s="3">
        <v>3.6052599999999999</v>
      </c>
      <c r="C118" s="3">
        <f t="shared" si="4"/>
        <v>3.6052599999999999</v>
      </c>
      <c r="D118" s="3" t="e">
        <f t="shared" si="5"/>
        <v>#N/A</v>
      </c>
      <c r="E118" s="5" cm="1">
        <f t="array" ref="E118">$E$4+(ROW(113:113)-1)*(($F$4-$E$4)/(COUNT($A$6:$A$446)-1))</f>
        <v>1994.6316363636363</v>
      </c>
      <c r="F118" s="5">
        <v>0</v>
      </c>
      <c r="G118" s="3">
        <v>0</v>
      </c>
      <c r="H118" s="3">
        <v>0</v>
      </c>
    </row>
    <row r="119" spans="1:8" x14ac:dyDescent="0.3">
      <c r="A119" s="3">
        <v>1993.41</v>
      </c>
      <c r="B119" s="3">
        <v>2.9961000000000002</v>
      </c>
      <c r="C119" s="3">
        <f t="shared" si="4"/>
        <v>2.9961000000000002</v>
      </c>
      <c r="D119" s="3" t="e">
        <f t="shared" si="5"/>
        <v>#N/A</v>
      </c>
      <c r="E119" s="5" cm="1">
        <f t="array" ref="E119">$E$4+(ROW(114:114)-1)*(($F$4-$E$4)/(COUNT($A$6:$A$446)-1))</f>
        <v>1994.7087045454546</v>
      </c>
      <c r="F119" s="5">
        <v>0</v>
      </c>
      <c r="G119" s="3">
        <v>0</v>
      </c>
      <c r="H119" s="3">
        <v>0</v>
      </c>
    </row>
    <row r="120" spans="1:8" x14ac:dyDescent="0.3">
      <c r="A120" s="3">
        <v>1993.71</v>
      </c>
      <c r="B120" s="3">
        <v>3.0570200000000001</v>
      </c>
      <c r="C120" s="3">
        <f t="shared" si="4"/>
        <v>3.0570200000000001</v>
      </c>
      <c r="D120" s="3" t="e">
        <f t="shared" si="5"/>
        <v>#N/A</v>
      </c>
      <c r="E120" s="5" cm="1">
        <f t="array" ref="E120">$E$4+(ROW(115:115)-1)*(($F$4-$E$4)/(COUNT($A$6:$A$446)-1))</f>
        <v>1994.7857727272728</v>
      </c>
      <c r="F120" s="5">
        <v>0</v>
      </c>
      <c r="G120" s="3">
        <v>0</v>
      </c>
      <c r="H120" s="3">
        <v>0</v>
      </c>
    </row>
    <row r="121" spans="1:8" x14ac:dyDescent="0.3">
      <c r="A121" s="3">
        <v>1993.74</v>
      </c>
      <c r="B121" s="3">
        <v>2.6403500000000002</v>
      </c>
      <c r="C121" s="3">
        <f t="shared" si="4"/>
        <v>2.6403500000000002</v>
      </c>
      <c r="D121" s="3" t="e">
        <f t="shared" si="5"/>
        <v>#N/A</v>
      </c>
      <c r="E121" s="5" cm="1">
        <f t="array" ref="E121">$E$4+(ROW(116:116)-1)*(($F$4-$E$4)/(COUNT($A$6:$A$446)-1))</f>
        <v>1994.8628409090909</v>
      </c>
      <c r="F121" s="5">
        <v>0</v>
      </c>
      <c r="G121" s="3">
        <v>0</v>
      </c>
      <c r="H121" s="3">
        <v>0</v>
      </c>
    </row>
    <row r="122" spans="1:8" x14ac:dyDescent="0.3">
      <c r="A122" s="3">
        <v>1993.98</v>
      </c>
      <c r="B122" s="3">
        <v>2.3369900000000001</v>
      </c>
      <c r="C122" s="3">
        <f t="shared" si="4"/>
        <v>2.3369900000000001</v>
      </c>
      <c r="D122" s="3" t="e">
        <f t="shared" si="5"/>
        <v>#N/A</v>
      </c>
      <c r="E122" s="5" cm="1">
        <f t="array" ref="E122">$E$4+(ROW(117:117)-1)*(($F$4-$E$4)/(COUNT($A$6:$A$446)-1))</f>
        <v>1994.9399090909092</v>
      </c>
      <c r="F122" s="5">
        <v>0</v>
      </c>
      <c r="G122" s="3">
        <v>0</v>
      </c>
      <c r="H122" s="3">
        <v>0</v>
      </c>
    </row>
    <row r="123" spans="1:8" x14ac:dyDescent="0.3">
      <c r="A123" s="3">
        <v>1993.98</v>
      </c>
      <c r="B123" s="3">
        <v>2.2492700000000001</v>
      </c>
      <c r="C123" s="3">
        <f t="shared" si="4"/>
        <v>2.2492700000000001</v>
      </c>
      <c r="D123" s="3" t="e">
        <f t="shared" si="5"/>
        <v>#N/A</v>
      </c>
      <c r="E123" s="5" cm="1">
        <f t="array" ref="E123">$E$4+(ROW(118:118)-1)*(($F$4-$E$4)/(COUNT($A$6:$A$446)-1))</f>
        <v>1995.0169772727272</v>
      </c>
      <c r="F123" s="5">
        <v>0</v>
      </c>
      <c r="G123" s="3">
        <v>0</v>
      </c>
      <c r="H123" s="3">
        <v>0</v>
      </c>
    </row>
    <row r="124" spans="1:8" x14ac:dyDescent="0.3">
      <c r="A124" s="3">
        <v>1993.99</v>
      </c>
      <c r="B124" s="3">
        <v>2.4247100000000001</v>
      </c>
      <c r="C124" s="3">
        <f t="shared" si="4"/>
        <v>2.4247100000000001</v>
      </c>
      <c r="D124" s="3" t="e">
        <f t="shared" si="5"/>
        <v>#N/A</v>
      </c>
      <c r="E124" s="5" cm="1">
        <f t="array" ref="E124">$E$4+(ROW(119:119)-1)*(($F$4-$E$4)/(COUNT($A$6:$A$446)-1))</f>
        <v>1995.0940454545455</v>
      </c>
      <c r="F124" s="5">
        <v>0</v>
      </c>
      <c r="G124" s="3">
        <v>0</v>
      </c>
      <c r="H124" s="3">
        <v>0</v>
      </c>
    </row>
    <row r="125" spans="1:8" x14ac:dyDescent="0.3">
      <c r="A125" s="3">
        <v>1994.01</v>
      </c>
      <c r="B125" s="3">
        <v>2.1615500000000001</v>
      </c>
      <c r="C125" s="3">
        <f t="shared" si="4"/>
        <v>2.1615500000000001</v>
      </c>
      <c r="D125" s="3" t="e">
        <f t="shared" si="5"/>
        <v>#N/A</v>
      </c>
      <c r="E125" s="5" cm="1">
        <f t="array" ref="E125">$E$4+(ROW(120:120)-1)*(($F$4-$E$4)/(COUNT($A$6:$A$446)-1))</f>
        <v>1995.1711136363638</v>
      </c>
      <c r="F125" s="5">
        <v>0</v>
      </c>
      <c r="G125" s="3">
        <v>0</v>
      </c>
      <c r="H125" s="3">
        <v>0</v>
      </c>
    </row>
    <row r="126" spans="1:8" x14ac:dyDescent="0.3">
      <c r="A126" s="3">
        <v>1994.02</v>
      </c>
      <c r="B126" s="3">
        <v>2.5124300000000002</v>
      </c>
      <c r="C126" s="3">
        <f t="shared" si="4"/>
        <v>2.5124300000000002</v>
      </c>
      <c r="D126" s="3" t="e">
        <f t="shared" si="5"/>
        <v>#N/A</v>
      </c>
      <c r="E126" s="5" cm="1">
        <f t="array" ref="E126">$E$4+(ROW(121:121)-1)*(($F$4-$E$4)/(COUNT($A$6:$A$446)-1))</f>
        <v>1995.2481818181818</v>
      </c>
      <c r="F126" s="5">
        <v>0</v>
      </c>
      <c r="G126" s="3">
        <v>0</v>
      </c>
      <c r="H126" s="3">
        <v>0</v>
      </c>
    </row>
    <row r="127" spans="1:8" x14ac:dyDescent="0.3">
      <c r="A127" s="3">
        <v>1994.03</v>
      </c>
      <c r="B127" s="3">
        <v>2.6805599999999998</v>
      </c>
      <c r="C127" s="3">
        <f t="shared" si="4"/>
        <v>2.6805599999999998</v>
      </c>
      <c r="D127" s="3" t="e">
        <f t="shared" si="5"/>
        <v>#N/A</v>
      </c>
      <c r="E127" s="5" cm="1">
        <f t="array" ref="E127">$E$4+(ROW(122:122)-1)*(($F$4-$E$4)/(COUNT($A$6:$A$446)-1))</f>
        <v>1995.3252500000001</v>
      </c>
      <c r="F127" s="5">
        <v>0</v>
      </c>
      <c r="G127" s="3">
        <v>0</v>
      </c>
      <c r="H127" s="3">
        <v>0</v>
      </c>
    </row>
    <row r="128" spans="1:8" x14ac:dyDescent="0.3">
      <c r="A128" s="3">
        <v>1994.14</v>
      </c>
      <c r="B128" s="3">
        <v>2.65741</v>
      </c>
      <c r="C128" s="3">
        <f t="shared" si="4"/>
        <v>2.65741</v>
      </c>
      <c r="D128" s="3" t="e">
        <f t="shared" si="5"/>
        <v>#N/A</v>
      </c>
      <c r="E128" s="5" cm="1">
        <f t="array" ref="E128">$E$4+(ROW(123:123)-1)*(($F$4-$E$4)/(COUNT($A$6:$A$446)-1))</f>
        <v>1995.4023181818181</v>
      </c>
      <c r="F128" s="5">
        <v>0</v>
      </c>
      <c r="G128" s="3">
        <v>0</v>
      </c>
      <c r="H128" s="3">
        <v>0</v>
      </c>
    </row>
    <row r="129" spans="1:8" x14ac:dyDescent="0.3">
      <c r="A129" s="3">
        <v>1994.15</v>
      </c>
      <c r="B129" s="3">
        <v>2.5964900000000002</v>
      </c>
      <c r="C129" s="3">
        <f t="shared" si="4"/>
        <v>2.5964900000000002</v>
      </c>
      <c r="D129" s="3" t="e">
        <f t="shared" si="5"/>
        <v>#N/A</v>
      </c>
      <c r="E129" s="5" cm="1">
        <f t="array" ref="E129">$E$4+(ROW(124:124)-1)*(($F$4-$E$4)/(COUNT($A$6:$A$446)-1))</f>
        <v>1995.4793863636364</v>
      </c>
      <c r="F129" s="5">
        <v>0</v>
      </c>
      <c r="G129" s="3">
        <v>0</v>
      </c>
      <c r="H129" s="3">
        <v>0</v>
      </c>
    </row>
    <row r="130" spans="1:8" x14ac:dyDescent="0.3">
      <c r="A130" s="3">
        <v>1994.53</v>
      </c>
      <c r="B130" s="3">
        <v>3.3104300000000002</v>
      </c>
      <c r="C130" s="3">
        <f t="shared" si="4"/>
        <v>3.3104300000000002</v>
      </c>
      <c r="D130" s="3" t="e">
        <f t="shared" si="5"/>
        <v>#N/A</v>
      </c>
      <c r="E130" s="5" cm="1">
        <f t="array" ref="E130">$E$4+(ROW(125:125)-1)*(($F$4-$E$4)/(COUNT($A$6:$A$446)-1))</f>
        <v>1995.5564545454545</v>
      </c>
      <c r="F130" s="5">
        <v>0</v>
      </c>
      <c r="G130" s="3">
        <v>0</v>
      </c>
      <c r="H130" s="3">
        <v>0</v>
      </c>
    </row>
    <row r="131" spans="1:8" x14ac:dyDescent="0.3">
      <c r="A131" s="3">
        <v>1994.56</v>
      </c>
      <c r="B131" s="3">
        <v>3.2227100000000002</v>
      </c>
      <c r="C131" s="3">
        <f t="shared" si="4"/>
        <v>3.2227100000000002</v>
      </c>
      <c r="D131" s="3" t="e">
        <f t="shared" si="5"/>
        <v>#N/A</v>
      </c>
      <c r="E131" s="5" cm="1">
        <f t="array" ref="E131">$E$4+(ROW(126:126)-1)*(($F$4-$E$4)/(COUNT($A$6:$A$446)-1))</f>
        <v>1995.6335227272727</v>
      </c>
      <c r="F131" s="5">
        <v>0</v>
      </c>
      <c r="G131" s="3">
        <v>0</v>
      </c>
      <c r="H131" s="3">
        <v>0</v>
      </c>
    </row>
    <row r="132" spans="1:8" x14ac:dyDescent="0.3">
      <c r="A132" s="3">
        <v>1994.58</v>
      </c>
      <c r="B132" s="3">
        <v>3.1349900000000002</v>
      </c>
      <c r="C132" s="3">
        <f t="shared" si="4"/>
        <v>3.1349900000000002</v>
      </c>
      <c r="D132" s="3" t="e">
        <f t="shared" si="5"/>
        <v>#N/A</v>
      </c>
      <c r="E132" s="5" cm="1">
        <f t="array" ref="E132">$E$4+(ROW(127:127)-1)*(($F$4-$E$4)/(COUNT($A$6:$A$446)-1))</f>
        <v>1995.710590909091</v>
      </c>
      <c r="F132" s="5">
        <v>0</v>
      </c>
      <c r="G132" s="3">
        <v>0</v>
      </c>
      <c r="H132" s="3">
        <v>0</v>
      </c>
    </row>
    <row r="133" spans="1:8" x14ac:dyDescent="0.3">
      <c r="A133" s="3">
        <v>1994.6</v>
      </c>
      <c r="B133" s="3">
        <v>3.0484900000000001</v>
      </c>
      <c r="C133" s="3">
        <f t="shared" si="4"/>
        <v>3.0484900000000001</v>
      </c>
      <c r="D133" s="3" t="e">
        <f t="shared" si="5"/>
        <v>#N/A</v>
      </c>
      <c r="E133" s="5" cm="1">
        <f t="array" ref="E133">$E$4+(ROW(128:128)-1)*(($F$4-$E$4)/(COUNT($A$6:$A$446)-1))</f>
        <v>1995.7876590909091</v>
      </c>
      <c r="F133" s="5">
        <v>0</v>
      </c>
      <c r="G133" s="3">
        <v>0</v>
      </c>
      <c r="H133" s="3">
        <v>0</v>
      </c>
    </row>
    <row r="134" spans="1:8" x14ac:dyDescent="0.3">
      <c r="A134" s="3">
        <v>1994.63</v>
      </c>
      <c r="B134" s="3">
        <v>2.9607700000000001</v>
      </c>
      <c r="C134" s="3">
        <f t="shared" si="4"/>
        <v>2.9607700000000001</v>
      </c>
      <c r="D134" s="3" t="e">
        <f t="shared" si="5"/>
        <v>#N/A</v>
      </c>
      <c r="E134" s="5" cm="1">
        <f t="array" ref="E134">$E$4+(ROW(129:129)-1)*(($F$4-$E$4)/(COUNT($A$6:$A$446)-1))</f>
        <v>1995.8647272727274</v>
      </c>
      <c r="F134" s="5">
        <v>0</v>
      </c>
      <c r="G134" s="3">
        <v>0</v>
      </c>
      <c r="H134" s="3">
        <v>0</v>
      </c>
    </row>
    <row r="135" spans="1:8" x14ac:dyDescent="0.3">
      <c r="A135" s="3">
        <v>1994.67</v>
      </c>
      <c r="B135" s="3">
        <v>2.7366000000000001</v>
      </c>
      <c r="C135" s="3">
        <f t="shared" ref="C135:C198" si="6">IF(B135&gt;=$C$4,B135,$D$4)</f>
        <v>2.7366000000000001</v>
      </c>
      <c r="D135" s="3" t="e">
        <f t="shared" ref="D135:D198" si="7">IF(B135&lt;=$C$4,B135,$D$4)</f>
        <v>#N/A</v>
      </c>
      <c r="E135" s="5" cm="1">
        <f t="array" ref="E135">$E$4+(ROW(130:130)-1)*(($F$4-$E$4)/(COUNT($A$6:$A$446)-1))</f>
        <v>1995.9417954545454</v>
      </c>
      <c r="F135" s="5">
        <v>0</v>
      </c>
      <c r="G135" s="3">
        <v>0</v>
      </c>
      <c r="H135" s="3">
        <v>0</v>
      </c>
    </row>
    <row r="136" spans="1:8" x14ac:dyDescent="0.3">
      <c r="A136" s="3">
        <v>1994.69</v>
      </c>
      <c r="B136" s="3">
        <v>2.7889900000000001</v>
      </c>
      <c r="C136" s="3">
        <f t="shared" si="6"/>
        <v>2.7889900000000001</v>
      </c>
      <c r="D136" s="3" t="e">
        <f t="shared" si="7"/>
        <v>#N/A</v>
      </c>
      <c r="E136" s="5" cm="1">
        <f t="array" ref="E136">$E$4+(ROW(131:131)-1)*(($F$4-$E$4)/(COUNT($A$6:$A$446)-1))</f>
        <v>1996.0188636363637</v>
      </c>
      <c r="F136" s="5">
        <v>0</v>
      </c>
      <c r="G136" s="3">
        <v>0</v>
      </c>
      <c r="H136" s="3">
        <v>0</v>
      </c>
    </row>
    <row r="137" spans="1:8" x14ac:dyDescent="0.3">
      <c r="A137" s="3">
        <v>1994.71</v>
      </c>
      <c r="B137" s="3">
        <v>2.6513200000000001</v>
      </c>
      <c r="C137" s="3">
        <f t="shared" si="6"/>
        <v>2.6513200000000001</v>
      </c>
      <c r="D137" s="3" t="e">
        <f t="shared" si="7"/>
        <v>#N/A</v>
      </c>
      <c r="E137" s="5" cm="1">
        <f t="array" ref="E137">$E$4+(ROW(132:132)-1)*(($F$4-$E$4)/(COUNT($A$6:$A$446)-1))</f>
        <v>1996.095931818182</v>
      </c>
      <c r="F137" s="5">
        <v>0</v>
      </c>
      <c r="G137" s="3">
        <v>0</v>
      </c>
      <c r="H137" s="3">
        <v>0</v>
      </c>
    </row>
    <row r="138" spans="1:8" x14ac:dyDescent="0.3">
      <c r="A138" s="3">
        <v>1994.74</v>
      </c>
      <c r="B138" s="3">
        <v>2.8767100000000001</v>
      </c>
      <c r="C138" s="3">
        <f t="shared" si="6"/>
        <v>2.8767100000000001</v>
      </c>
      <c r="D138" s="3" t="e">
        <f t="shared" si="7"/>
        <v>#N/A</v>
      </c>
      <c r="E138" s="5" cm="1">
        <f t="array" ref="E138">$E$4+(ROW(133:133)-1)*(($F$4-$E$4)/(COUNT($A$6:$A$446)-1))</f>
        <v>1996.173</v>
      </c>
      <c r="F138" s="5">
        <v>0</v>
      </c>
      <c r="G138" s="3">
        <v>0</v>
      </c>
      <c r="H138" s="3">
        <v>0</v>
      </c>
    </row>
    <row r="139" spans="1:8" x14ac:dyDescent="0.3">
      <c r="A139" s="3">
        <v>1994.83</v>
      </c>
      <c r="B139" s="3">
        <v>2.7353800000000001</v>
      </c>
      <c r="C139" s="3">
        <f t="shared" si="6"/>
        <v>2.7353800000000001</v>
      </c>
      <c r="D139" s="3" t="e">
        <f t="shared" si="7"/>
        <v>#N/A</v>
      </c>
      <c r="E139" s="5" cm="1">
        <f t="array" ref="E139">$E$4+(ROW(134:134)-1)*(($F$4-$E$4)/(COUNT($A$6:$A$446)-1))</f>
        <v>1996.2500681818183</v>
      </c>
      <c r="F139" s="5">
        <v>0</v>
      </c>
      <c r="G139" s="3">
        <v>0</v>
      </c>
      <c r="H139" s="3">
        <v>0</v>
      </c>
    </row>
    <row r="140" spans="1:8" x14ac:dyDescent="0.3">
      <c r="A140" s="3">
        <v>1994.92</v>
      </c>
      <c r="B140" s="3">
        <v>2.6671499999999999</v>
      </c>
      <c r="C140" s="3">
        <f t="shared" si="6"/>
        <v>2.6671499999999999</v>
      </c>
      <c r="D140" s="3" t="e">
        <f t="shared" si="7"/>
        <v>#N/A</v>
      </c>
      <c r="E140" s="5" cm="1">
        <f t="array" ref="E140">$E$4+(ROW(135:135)-1)*(($F$4-$E$4)/(COUNT($A$6:$A$446)-1))</f>
        <v>1996.3271363636363</v>
      </c>
      <c r="F140" s="5">
        <v>0</v>
      </c>
      <c r="G140" s="3">
        <v>0</v>
      </c>
      <c r="H140" s="3">
        <v>0</v>
      </c>
    </row>
    <row r="141" spans="1:8" x14ac:dyDescent="0.3">
      <c r="A141" s="3">
        <v>1995.01</v>
      </c>
      <c r="B141" s="3">
        <v>2.5830899999999999</v>
      </c>
      <c r="C141" s="3">
        <f t="shared" si="6"/>
        <v>2.5830899999999999</v>
      </c>
      <c r="D141" s="3" t="e">
        <f t="shared" si="7"/>
        <v>#N/A</v>
      </c>
      <c r="E141" s="5" cm="1">
        <f t="array" ref="E141">$E$4+(ROW(136:136)-1)*(($F$4-$E$4)/(COUNT($A$6:$A$446)-1))</f>
        <v>1996.4042045454546</v>
      </c>
      <c r="F141" s="5">
        <v>0</v>
      </c>
      <c r="G141" s="3">
        <v>0</v>
      </c>
      <c r="H141" s="3">
        <v>0</v>
      </c>
    </row>
    <row r="142" spans="1:8" x14ac:dyDescent="0.3">
      <c r="A142" s="3">
        <v>1995.03</v>
      </c>
      <c r="B142" s="3">
        <v>2.4953699999999999</v>
      </c>
      <c r="C142" s="3">
        <f t="shared" si="6"/>
        <v>2.4953699999999999</v>
      </c>
      <c r="D142" s="3" t="e">
        <f t="shared" si="7"/>
        <v>#N/A</v>
      </c>
      <c r="E142" s="5" cm="1">
        <f t="array" ref="E142">$E$4+(ROW(137:137)-1)*(($F$4-$E$4)/(COUNT($A$6:$A$446)-1))</f>
        <v>1996.4812727272727</v>
      </c>
      <c r="F142" s="5">
        <v>0</v>
      </c>
      <c r="G142" s="3">
        <v>0</v>
      </c>
      <c r="H142" s="3">
        <v>0</v>
      </c>
    </row>
    <row r="143" spans="1:8" x14ac:dyDescent="0.3">
      <c r="A143" s="3">
        <v>1995.06</v>
      </c>
      <c r="B143" s="3">
        <v>2.4088699999999998</v>
      </c>
      <c r="C143" s="3">
        <f t="shared" si="6"/>
        <v>2.4088699999999998</v>
      </c>
      <c r="D143" s="3" t="e">
        <f t="shared" si="7"/>
        <v>#N/A</v>
      </c>
      <c r="E143" s="5" cm="1">
        <f t="array" ref="E143">$E$4+(ROW(138:138)-1)*(($F$4-$E$4)/(COUNT($A$6:$A$446)-1))</f>
        <v>1996.5583409090909</v>
      </c>
      <c r="F143" s="5">
        <v>0</v>
      </c>
      <c r="G143" s="3">
        <v>0</v>
      </c>
      <c r="H143" s="3">
        <v>0</v>
      </c>
    </row>
    <row r="144" spans="1:8" x14ac:dyDescent="0.3">
      <c r="A144" s="3">
        <v>1995.1</v>
      </c>
      <c r="B144" s="3">
        <v>2.3223699999999998</v>
      </c>
      <c r="C144" s="3">
        <f t="shared" si="6"/>
        <v>2.3223699999999998</v>
      </c>
      <c r="D144" s="3" t="e">
        <f t="shared" si="7"/>
        <v>#N/A</v>
      </c>
      <c r="E144" s="5" cm="1">
        <f t="array" ref="E144">$E$4+(ROW(139:139)-1)*(($F$4-$E$4)/(COUNT($A$6:$A$446)-1))</f>
        <v>1996.6354090909092</v>
      </c>
      <c r="F144" s="5">
        <v>0</v>
      </c>
      <c r="G144" s="3">
        <v>0</v>
      </c>
      <c r="H144" s="3">
        <v>0</v>
      </c>
    </row>
    <row r="145" spans="1:8" x14ac:dyDescent="0.3">
      <c r="A145" s="3">
        <v>1995.13</v>
      </c>
      <c r="B145" s="3">
        <v>2.2346499999999998</v>
      </c>
      <c r="C145" s="3">
        <f t="shared" si="6"/>
        <v>2.2346499999999998</v>
      </c>
      <c r="D145" s="3" t="e">
        <f t="shared" si="7"/>
        <v>#N/A</v>
      </c>
      <c r="E145" s="5" cm="1">
        <f t="array" ref="E145">$E$4+(ROW(140:140)-1)*(($F$4-$E$4)/(COUNT($A$6:$A$446)-1))</f>
        <v>1996.7124772727273</v>
      </c>
      <c r="F145" s="5">
        <v>0</v>
      </c>
      <c r="G145" s="3">
        <v>0</v>
      </c>
      <c r="H145" s="3">
        <v>0</v>
      </c>
    </row>
    <row r="146" spans="1:8" x14ac:dyDescent="0.3">
      <c r="A146" s="3">
        <v>1995.17</v>
      </c>
      <c r="B146" s="3">
        <v>2.1469299999999998</v>
      </c>
      <c r="C146" s="3">
        <f t="shared" si="6"/>
        <v>2.1469299999999998</v>
      </c>
      <c r="D146" s="3" t="e">
        <f t="shared" si="7"/>
        <v>#N/A</v>
      </c>
      <c r="E146" s="5" cm="1">
        <f t="array" ref="E146">$E$4+(ROW(141:141)-1)*(($F$4-$E$4)/(COUNT($A$6:$A$446)-1))</f>
        <v>1996.7895454545455</v>
      </c>
      <c r="F146" s="5">
        <v>0</v>
      </c>
      <c r="G146" s="3">
        <v>0</v>
      </c>
      <c r="H146" s="3">
        <v>0</v>
      </c>
    </row>
    <row r="147" spans="1:8" x14ac:dyDescent="0.3">
      <c r="A147" s="3">
        <v>1995.18</v>
      </c>
      <c r="B147" s="3">
        <v>2.0592100000000002</v>
      </c>
      <c r="C147" s="3">
        <f t="shared" si="6"/>
        <v>2.0592100000000002</v>
      </c>
      <c r="D147" s="3" t="e">
        <f t="shared" si="7"/>
        <v>#N/A</v>
      </c>
      <c r="E147" s="5" cm="1">
        <f t="array" ref="E147">$E$4+(ROW(142:142)-1)*(($F$4-$E$4)/(COUNT($A$6:$A$446)-1))</f>
        <v>1996.8666136363636</v>
      </c>
      <c r="F147" s="5">
        <v>0</v>
      </c>
      <c r="G147" s="3">
        <v>0</v>
      </c>
      <c r="H147" s="3">
        <v>0</v>
      </c>
    </row>
    <row r="148" spans="1:8" x14ac:dyDescent="0.3">
      <c r="A148" s="3">
        <v>1995.18</v>
      </c>
      <c r="B148" s="3">
        <v>1.97149</v>
      </c>
      <c r="C148" s="3">
        <f t="shared" si="6"/>
        <v>1.97149</v>
      </c>
      <c r="D148" s="3" t="e">
        <f t="shared" si="7"/>
        <v>#N/A</v>
      </c>
      <c r="E148" s="5" cm="1">
        <f t="array" ref="E148">$E$4+(ROW(143:143)-1)*(($F$4-$E$4)/(COUNT($A$6:$A$446)-1))</f>
        <v>1996.9436818181819</v>
      </c>
      <c r="F148" s="5">
        <v>0</v>
      </c>
      <c r="G148" s="3">
        <v>0</v>
      </c>
      <c r="H148" s="3">
        <v>0</v>
      </c>
    </row>
    <row r="149" spans="1:8" x14ac:dyDescent="0.3">
      <c r="A149" s="3">
        <v>1995.19</v>
      </c>
      <c r="B149" s="3">
        <v>1.8837699999999999</v>
      </c>
      <c r="C149" s="3">
        <f t="shared" si="6"/>
        <v>1.8837699999999999</v>
      </c>
      <c r="D149" s="3" t="e">
        <f t="shared" si="7"/>
        <v>#N/A</v>
      </c>
      <c r="E149" s="5" cm="1">
        <f t="array" ref="E149">$E$4+(ROW(144:144)-1)*(($F$4-$E$4)/(COUNT($A$6:$A$446)-1))</f>
        <v>1997.0207500000001</v>
      </c>
      <c r="F149" s="5">
        <v>0</v>
      </c>
      <c r="G149" s="3">
        <v>0</v>
      </c>
      <c r="H149" s="3">
        <v>0</v>
      </c>
    </row>
    <row r="150" spans="1:8" x14ac:dyDescent="0.3">
      <c r="A150" s="3">
        <v>1995.22</v>
      </c>
      <c r="B150" s="3">
        <v>1.7960499999999999</v>
      </c>
      <c r="C150" s="3">
        <f t="shared" si="6"/>
        <v>1.7960499999999999</v>
      </c>
      <c r="D150" s="3" t="e">
        <f t="shared" si="7"/>
        <v>#N/A</v>
      </c>
      <c r="E150" s="5" cm="1">
        <f t="array" ref="E150">$E$4+(ROW(145:145)-1)*(($F$4-$E$4)/(COUNT($A$6:$A$446)-1))</f>
        <v>1997.0978181818182</v>
      </c>
      <c r="F150" s="5">
        <v>0</v>
      </c>
      <c r="G150" s="3">
        <v>0</v>
      </c>
      <c r="H150" s="3">
        <v>0</v>
      </c>
    </row>
    <row r="151" spans="1:8" x14ac:dyDescent="0.3">
      <c r="A151" s="3">
        <v>1995.26</v>
      </c>
      <c r="B151" s="3">
        <v>1.7095499999999999</v>
      </c>
      <c r="C151" s="3">
        <f t="shared" si="6"/>
        <v>1.7095499999999999</v>
      </c>
      <c r="D151" s="3" t="e">
        <f t="shared" si="7"/>
        <v>#N/A</v>
      </c>
      <c r="E151" s="5" cm="1">
        <f t="array" ref="E151">$E$4+(ROW(146:146)-1)*(($F$4-$E$4)/(COUNT($A$6:$A$446)-1))</f>
        <v>1997.1748863636365</v>
      </c>
      <c r="F151" s="5">
        <v>0</v>
      </c>
      <c r="G151" s="3">
        <v>0</v>
      </c>
      <c r="H151" s="3">
        <v>0</v>
      </c>
    </row>
    <row r="152" spans="1:8" x14ac:dyDescent="0.3">
      <c r="A152" s="3">
        <v>1995.3</v>
      </c>
      <c r="B152" s="3">
        <v>1.6218300000000001</v>
      </c>
      <c r="C152" s="3">
        <f t="shared" si="6"/>
        <v>1.6218300000000001</v>
      </c>
      <c r="D152" s="3" t="e">
        <f t="shared" si="7"/>
        <v>#N/A</v>
      </c>
      <c r="E152" s="5" cm="1">
        <f t="array" ref="E152">$E$4+(ROW(147:147)-1)*(($F$4-$E$4)/(COUNT($A$6:$A$446)-1))</f>
        <v>1997.2519545454545</v>
      </c>
      <c r="F152" s="5">
        <v>0</v>
      </c>
      <c r="G152" s="3">
        <v>0</v>
      </c>
      <c r="H152" s="3">
        <v>0</v>
      </c>
    </row>
    <row r="153" spans="1:8" x14ac:dyDescent="0.3">
      <c r="A153" s="3">
        <v>1995.32</v>
      </c>
      <c r="B153" s="3">
        <v>1.5341100000000001</v>
      </c>
      <c r="C153" s="3">
        <f t="shared" si="6"/>
        <v>1.5341100000000001</v>
      </c>
      <c r="D153" s="3" t="e">
        <f t="shared" si="7"/>
        <v>#N/A</v>
      </c>
      <c r="E153" s="5" cm="1">
        <f t="array" ref="E153">$E$4+(ROW(148:148)-1)*(($F$4-$E$4)/(COUNT($A$6:$A$446)-1))</f>
        <v>1997.3290227272728</v>
      </c>
      <c r="F153" s="5">
        <v>0</v>
      </c>
      <c r="G153" s="3">
        <v>0</v>
      </c>
      <c r="H153" s="3">
        <v>0</v>
      </c>
    </row>
    <row r="154" spans="1:8" x14ac:dyDescent="0.3">
      <c r="A154" s="3">
        <v>1995.33</v>
      </c>
      <c r="B154" s="3">
        <v>1.4463900000000001</v>
      </c>
      <c r="C154" s="3">
        <f t="shared" si="6"/>
        <v>1.4463900000000001</v>
      </c>
      <c r="D154" s="3" t="e">
        <f t="shared" si="7"/>
        <v>#N/A</v>
      </c>
      <c r="E154" s="5" cm="1">
        <f t="array" ref="E154">$E$4+(ROW(149:149)-1)*(($F$4-$E$4)/(COUNT($A$6:$A$446)-1))</f>
        <v>1997.4060909090908</v>
      </c>
      <c r="F154" s="5">
        <v>0</v>
      </c>
      <c r="G154" s="3">
        <v>0</v>
      </c>
      <c r="H154" s="3">
        <v>0</v>
      </c>
    </row>
    <row r="155" spans="1:8" x14ac:dyDescent="0.3">
      <c r="A155" s="3">
        <v>1995.35</v>
      </c>
      <c r="B155" s="3">
        <v>1.35867</v>
      </c>
      <c r="C155" s="3">
        <f t="shared" si="6"/>
        <v>1.35867</v>
      </c>
      <c r="D155" s="3" t="e">
        <f t="shared" si="7"/>
        <v>#N/A</v>
      </c>
      <c r="E155" s="5" cm="1">
        <f t="array" ref="E155">$E$4+(ROW(150:150)-1)*(($F$4-$E$4)/(COUNT($A$6:$A$446)-1))</f>
        <v>1997.4831590909091</v>
      </c>
      <c r="F155" s="5">
        <v>0</v>
      </c>
      <c r="G155" s="3">
        <v>0</v>
      </c>
      <c r="H155" s="3">
        <v>0</v>
      </c>
    </row>
    <row r="156" spans="1:8" x14ac:dyDescent="0.3">
      <c r="A156" s="3">
        <v>1995.38</v>
      </c>
      <c r="B156" s="3">
        <v>1.27217</v>
      </c>
      <c r="C156" s="3">
        <f t="shared" si="6"/>
        <v>1.27217</v>
      </c>
      <c r="D156" s="3" t="e">
        <f t="shared" si="7"/>
        <v>#N/A</v>
      </c>
      <c r="E156" s="5" cm="1">
        <f t="array" ref="E156">$E$4+(ROW(151:151)-1)*(($F$4-$E$4)/(COUNT($A$6:$A$446)-1))</f>
        <v>1997.5602272727274</v>
      </c>
      <c r="F156" s="5">
        <v>0</v>
      </c>
      <c r="G156" s="3">
        <v>0</v>
      </c>
      <c r="H156" s="3">
        <v>0</v>
      </c>
    </row>
    <row r="157" spans="1:8" x14ac:dyDescent="0.3">
      <c r="A157" s="3">
        <v>1995.42</v>
      </c>
      <c r="B157" s="3">
        <v>1.18445</v>
      </c>
      <c r="C157" s="3">
        <f t="shared" si="6"/>
        <v>1.18445</v>
      </c>
      <c r="D157" s="3" t="e">
        <f t="shared" si="7"/>
        <v>#N/A</v>
      </c>
      <c r="E157" s="5" cm="1">
        <f t="array" ref="E157">$E$4+(ROW(152:152)-1)*(($F$4-$E$4)/(COUNT($A$6:$A$446)-1))</f>
        <v>1997.6372954545454</v>
      </c>
      <c r="F157" s="5">
        <v>0</v>
      </c>
      <c r="G157" s="3">
        <v>0</v>
      </c>
      <c r="H157" s="3">
        <v>0</v>
      </c>
    </row>
    <row r="158" spans="1:8" x14ac:dyDescent="0.3">
      <c r="A158" s="3">
        <v>1995.47</v>
      </c>
      <c r="B158" s="3">
        <v>1.09673</v>
      </c>
      <c r="C158" s="3">
        <f t="shared" si="6"/>
        <v>1.09673</v>
      </c>
      <c r="D158" s="3" t="e">
        <f t="shared" si="7"/>
        <v>#N/A</v>
      </c>
      <c r="E158" s="5" cm="1">
        <f t="array" ref="E158">$E$4+(ROW(153:153)-1)*(($F$4-$E$4)/(COUNT($A$6:$A$446)-1))</f>
        <v>1997.7143636363637</v>
      </c>
      <c r="F158" s="5">
        <v>0</v>
      </c>
      <c r="G158" s="3">
        <v>0</v>
      </c>
      <c r="H158" s="3">
        <v>0</v>
      </c>
    </row>
    <row r="159" spans="1:8" x14ac:dyDescent="0.3">
      <c r="A159" s="3">
        <v>1995.55</v>
      </c>
      <c r="B159" s="3">
        <v>1.01145</v>
      </c>
      <c r="C159" s="3">
        <f t="shared" si="6"/>
        <v>1.01145</v>
      </c>
      <c r="D159" s="3" t="e">
        <f t="shared" si="7"/>
        <v>#N/A</v>
      </c>
      <c r="E159" s="5" cm="1">
        <f t="array" ref="E159">$E$4+(ROW(154:154)-1)*(($F$4-$E$4)/(COUNT($A$6:$A$446)-1))</f>
        <v>1997.7914318181818</v>
      </c>
      <c r="F159" s="5">
        <v>0</v>
      </c>
      <c r="G159" s="3">
        <v>0</v>
      </c>
      <c r="H159" s="3">
        <v>0</v>
      </c>
    </row>
    <row r="160" spans="1:8" x14ac:dyDescent="0.3">
      <c r="A160" s="3">
        <v>1995.64</v>
      </c>
      <c r="B160" s="3">
        <v>0.92738799999999999</v>
      </c>
      <c r="C160" s="3">
        <f t="shared" si="6"/>
        <v>0.92738799999999999</v>
      </c>
      <c r="D160" s="3" t="e">
        <f t="shared" si="7"/>
        <v>#N/A</v>
      </c>
      <c r="E160" s="5" cm="1">
        <f t="array" ref="E160">$E$4+(ROW(155:155)-1)*(($F$4-$E$4)/(COUNT($A$6:$A$446)-1))</f>
        <v>1997.8685</v>
      </c>
      <c r="F160" s="5">
        <v>0</v>
      </c>
      <c r="G160" s="3">
        <v>0</v>
      </c>
      <c r="H160" s="3">
        <v>0</v>
      </c>
    </row>
    <row r="161" spans="1:8" x14ac:dyDescent="0.3">
      <c r="A161" s="3">
        <v>1995.67</v>
      </c>
      <c r="B161" s="3">
        <v>0.53874299999999997</v>
      </c>
      <c r="C161" s="3">
        <f t="shared" si="6"/>
        <v>0.53874299999999997</v>
      </c>
      <c r="D161" s="3" t="e">
        <f t="shared" si="7"/>
        <v>#N/A</v>
      </c>
      <c r="E161" s="5" cm="1">
        <f t="array" ref="E161">$E$4+(ROW(156:156)-1)*(($F$4-$E$4)/(COUNT($A$6:$A$446)-1))</f>
        <v>1997.9455681818183</v>
      </c>
      <c r="F161" s="5">
        <v>0</v>
      </c>
      <c r="G161" s="3">
        <v>0</v>
      </c>
      <c r="H161" s="3">
        <v>0</v>
      </c>
    </row>
    <row r="162" spans="1:8" x14ac:dyDescent="0.3">
      <c r="A162" s="3">
        <v>1995.75</v>
      </c>
      <c r="B162" s="3">
        <v>0.84332399999999996</v>
      </c>
      <c r="C162" s="3">
        <f t="shared" si="6"/>
        <v>0.84332399999999996</v>
      </c>
      <c r="D162" s="3" t="e">
        <f t="shared" si="7"/>
        <v>#N/A</v>
      </c>
      <c r="E162" s="5" cm="1">
        <f t="array" ref="E162">$E$4+(ROW(157:157)-1)*(($F$4-$E$4)/(COUNT($A$6:$A$446)-1))</f>
        <v>1998.0226363636364</v>
      </c>
      <c r="F162" s="5">
        <v>0</v>
      </c>
      <c r="G162" s="3">
        <v>0</v>
      </c>
      <c r="H162" s="3">
        <v>0</v>
      </c>
    </row>
    <row r="163" spans="1:8" x14ac:dyDescent="0.3">
      <c r="A163" s="3">
        <v>1995.88</v>
      </c>
      <c r="B163" s="3">
        <v>0.76169600000000004</v>
      </c>
      <c r="C163" s="3">
        <f t="shared" si="6"/>
        <v>0.76169600000000004</v>
      </c>
      <c r="D163" s="3" t="e">
        <f t="shared" si="7"/>
        <v>#N/A</v>
      </c>
      <c r="E163" s="5" cm="1">
        <f t="array" ref="E163">$E$4+(ROW(158:158)-1)*(($F$4-$E$4)/(COUNT($A$6:$A$446)-1))</f>
        <v>1998.0997045454546</v>
      </c>
      <c r="F163" s="5">
        <v>0</v>
      </c>
      <c r="G163" s="3">
        <v>0</v>
      </c>
      <c r="H163" s="3">
        <v>0</v>
      </c>
    </row>
    <row r="164" spans="1:8" x14ac:dyDescent="0.3">
      <c r="A164" s="3">
        <v>1996.07</v>
      </c>
      <c r="B164" s="3">
        <v>0.52412300000000001</v>
      </c>
      <c r="C164" s="3">
        <f t="shared" si="6"/>
        <v>0.52412300000000001</v>
      </c>
      <c r="D164" s="3" t="e">
        <f t="shared" si="7"/>
        <v>#N/A</v>
      </c>
      <c r="E164" s="5" cm="1">
        <f t="array" ref="E164">$E$4+(ROW(159:159)-1)*(($F$4-$E$4)/(COUNT($A$6:$A$446)-1))</f>
        <v>1998.1767727272727</v>
      </c>
      <c r="F164" s="5">
        <v>0</v>
      </c>
      <c r="G164" s="3">
        <v>0</v>
      </c>
      <c r="H164" s="3">
        <v>0</v>
      </c>
    </row>
    <row r="165" spans="1:8" x14ac:dyDescent="0.3">
      <c r="A165" s="3">
        <v>1996.58</v>
      </c>
      <c r="B165" s="3">
        <v>1.7363500000000001</v>
      </c>
      <c r="C165" s="3">
        <f t="shared" si="6"/>
        <v>1.7363500000000001</v>
      </c>
      <c r="D165" s="3" t="e">
        <f t="shared" si="7"/>
        <v>#N/A</v>
      </c>
      <c r="E165" s="5" cm="1">
        <f t="array" ref="E165">$E$4+(ROW(160:160)-1)*(($F$4-$E$4)/(COUNT($A$6:$A$446)-1))</f>
        <v>1998.253840909091</v>
      </c>
      <c r="F165" s="5">
        <v>0</v>
      </c>
      <c r="G165" s="3">
        <v>0</v>
      </c>
      <c r="H165" s="3">
        <v>0</v>
      </c>
    </row>
    <row r="166" spans="1:8" x14ac:dyDescent="0.3">
      <c r="A166" s="3">
        <v>1996.65</v>
      </c>
      <c r="B166" s="3">
        <v>1.64985</v>
      </c>
      <c r="C166" s="3">
        <f t="shared" si="6"/>
        <v>1.64985</v>
      </c>
      <c r="D166" s="3" t="e">
        <f t="shared" si="7"/>
        <v>#N/A</v>
      </c>
      <c r="E166" s="5" cm="1">
        <f t="array" ref="E166">$E$4+(ROW(161:161)-1)*(($F$4-$E$4)/(COUNT($A$6:$A$446)-1))</f>
        <v>1998.330909090909</v>
      </c>
      <c r="F166" s="5">
        <v>0</v>
      </c>
      <c r="G166" s="3">
        <v>0</v>
      </c>
      <c r="H166" s="3">
        <v>0</v>
      </c>
    </row>
    <row r="167" spans="1:8" x14ac:dyDescent="0.3">
      <c r="A167" s="3">
        <v>1996.75</v>
      </c>
      <c r="B167" s="3">
        <v>1.56579</v>
      </c>
      <c r="C167" s="3">
        <f t="shared" si="6"/>
        <v>1.56579</v>
      </c>
      <c r="D167" s="3" t="e">
        <f t="shared" si="7"/>
        <v>#N/A</v>
      </c>
      <c r="E167" s="5" cm="1">
        <f t="array" ref="E167">$E$4+(ROW(162:162)-1)*(($F$4-$E$4)/(COUNT($A$6:$A$446)-1))</f>
        <v>1998.4079772727273</v>
      </c>
      <c r="F167" s="5">
        <v>0</v>
      </c>
      <c r="G167" s="3">
        <v>0</v>
      </c>
      <c r="H167" s="3">
        <v>0</v>
      </c>
    </row>
    <row r="168" spans="1:8" x14ac:dyDescent="0.3">
      <c r="A168" s="3">
        <v>1996.79</v>
      </c>
      <c r="B168" s="3">
        <v>1.47807</v>
      </c>
      <c r="C168" s="3">
        <f t="shared" si="6"/>
        <v>1.47807</v>
      </c>
      <c r="D168" s="3" t="e">
        <f t="shared" si="7"/>
        <v>#N/A</v>
      </c>
      <c r="E168" s="5" cm="1">
        <f t="array" ref="E168">$E$4+(ROW(163:163)-1)*(($F$4-$E$4)/(COUNT($A$6:$A$446)-1))</f>
        <v>1998.4850454545456</v>
      </c>
      <c r="F168" s="5">
        <v>0</v>
      </c>
      <c r="G168" s="3">
        <v>0</v>
      </c>
      <c r="H168" s="3">
        <v>0</v>
      </c>
    </row>
    <row r="169" spans="1:8" x14ac:dyDescent="0.3">
      <c r="A169" s="3">
        <v>1996.99</v>
      </c>
      <c r="B169" s="3">
        <v>1.3964399999999999</v>
      </c>
      <c r="C169" s="3">
        <f t="shared" si="6"/>
        <v>1.3964399999999999</v>
      </c>
      <c r="D169" s="3" t="e">
        <f t="shared" si="7"/>
        <v>#N/A</v>
      </c>
      <c r="E169" s="5" cm="1">
        <f t="array" ref="E169">$E$4+(ROW(164:164)-1)*(($F$4-$E$4)/(COUNT($A$6:$A$446)-1))</f>
        <v>1998.5621136363636</v>
      </c>
      <c r="F169" s="5">
        <v>0</v>
      </c>
      <c r="G169" s="3">
        <v>0</v>
      </c>
      <c r="H169" s="3">
        <v>0</v>
      </c>
    </row>
    <row r="170" spans="1:8" x14ac:dyDescent="0.3">
      <c r="A170" s="3">
        <v>1997.19</v>
      </c>
      <c r="B170" s="3">
        <v>1.27583</v>
      </c>
      <c r="C170" s="3">
        <f t="shared" si="6"/>
        <v>1.27583</v>
      </c>
      <c r="D170" s="3" t="e">
        <f t="shared" si="7"/>
        <v>#N/A</v>
      </c>
      <c r="E170" s="5" cm="1">
        <f t="array" ref="E170">$E$4+(ROW(165:165)-1)*(($F$4-$E$4)/(COUNT($A$6:$A$446)-1))</f>
        <v>1998.6391818181819</v>
      </c>
      <c r="F170" s="5">
        <v>0</v>
      </c>
      <c r="G170" s="3">
        <v>0</v>
      </c>
      <c r="H170" s="3">
        <v>0</v>
      </c>
    </row>
    <row r="171" spans="1:8" x14ac:dyDescent="0.3">
      <c r="A171" s="3">
        <v>1997.4</v>
      </c>
      <c r="B171" s="3">
        <v>1.4013199999999999</v>
      </c>
      <c r="C171" s="3">
        <f t="shared" si="6"/>
        <v>1.4013199999999999</v>
      </c>
      <c r="D171" s="3" t="e">
        <f t="shared" si="7"/>
        <v>#N/A</v>
      </c>
      <c r="E171" s="5" cm="1">
        <f t="array" ref="E171">$E$4+(ROW(166:166)-1)*(($F$4-$E$4)/(COUNT($A$6:$A$446)-1))</f>
        <v>1998.7162499999999</v>
      </c>
      <c r="F171" s="5">
        <v>0</v>
      </c>
      <c r="G171" s="3">
        <v>0</v>
      </c>
      <c r="H171" s="3">
        <v>0</v>
      </c>
    </row>
    <row r="172" spans="1:8" x14ac:dyDescent="0.3">
      <c r="A172" s="3">
        <v>1997.54</v>
      </c>
      <c r="B172" s="3">
        <v>1.23441</v>
      </c>
      <c r="C172" s="3">
        <f t="shared" si="6"/>
        <v>1.23441</v>
      </c>
      <c r="D172" s="3" t="e">
        <f t="shared" si="7"/>
        <v>#N/A</v>
      </c>
      <c r="E172" s="5" cm="1">
        <f t="array" ref="E172">$E$4+(ROW(167:167)-1)*(($F$4-$E$4)/(COUNT($A$6:$A$446)-1))</f>
        <v>1998.7933181818182</v>
      </c>
      <c r="F172" s="5">
        <v>0</v>
      </c>
      <c r="G172" s="3">
        <v>0</v>
      </c>
      <c r="H172" s="3">
        <v>0</v>
      </c>
    </row>
    <row r="173" spans="1:8" x14ac:dyDescent="0.3">
      <c r="A173" s="3">
        <v>1997.75</v>
      </c>
      <c r="B173" s="3">
        <v>1.1600900000000001</v>
      </c>
      <c r="C173" s="3">
        <f t="shared" si="6"/>
        <v>1.1600900000000001</v>
      </c>
      <c r="D173" s="3" t="e">
        <f t="shared" si="7"/>
        <v>#N/A</v>
      </c>
      <c r="E173" s="5" cm="1">
        <f t="array" ref="E173">$E$4+(ROW(168:168)-1)*(($F$4-$E$4)/(COUNT($A$6:$A$446)-1))</f>
        <v>1998.8703863636365</v>
      </c>
      <c r="F173" s="5">
        <v>0</v>
      </c>
      <c r="G173" s="3">
        <v>0</v>
      </c>
      <c r="H173" s="3">
        <v>0</v>
      </c>
    </row>
    <row r="174" spans="1:8" x14ac:dyDescent="0.3">
      <c r="A174" s="3">
        <v>1997.79</v>
      </c>
      <c r="B174" s="3">
        <v>1.07237</v>
      </c>
      <c r="C174" s="3">
        <f t="shared" si="6"/>
        <v>1.07237</v>
      </c>
      <c r="D174" s="3" t="e">
        <f t="shared" si="7"/>
        <v>#N/A</v>
      </c>
      <c r="E174" s="5" cm="1">
        <f t="array" ref="E174">$E$4+(ROW(169:169)-1)*(($F$4-$E$4)/(COUNT($A$6:$A$446)-1))</f>
        <v>1998.9474545454545</v>
      </c>
      <c r="F174" s="5">
        <v>0</v>
      </c>
      <c r="G174" s="3">
        <v>0</v>
      </c>
      <c r="H174" s="3">
        <v>0</v>
      </c>
    </row>
    <row r="175" spans="1:8" x14ac:dyDescent="0.3">
      <c r="A175" s="3">
        <v>1997.81</v>
      </c>
      <c r="B175" s="3">
        <v>0.984649</v>
      </c>
      <c r="C175" s="3">
        <f t="shared" si="6"/>
        <v>0.984649</v>
      </c>
      <c r="D175" s="3" t="e">
        <f t="shared" si="7"/>
        <v>#N/A</v>
      </c>
      <c r="E175" s="5" cm="1">
        <f t="array" ref="E175">$E$4+(ROW(170:170)-1)*(($F$4-$E$4)/(COUNT($A$6:$A$446)-1))</f>
        <v>1999.0245227272728</v>
      </c>
      <c r="F175" s="5">
        <v>0</v>
      </c>
      <c r="G175" s="3">
        <v>0</v>
      </c>
      <c r="H175" s="3">
        <v>0</v>
      </c>
    </row>
    <row r="176" spans="1:8" x14ac:dyDescent="0.3">
      <c r="A176" s="3">
        <v>1997.81</v>
      </c>
      <c r="B176" s="3">
        <v>0.89693000000000001</v>
      </c>
      <c r="C176" s="3">
        <f t="shared" si="6"/>
        <v>0.89693000000000001</v>
      </c>
      <c r="D176" s="3" t="e">
        <f t="shared" si="7"/>
        <v>#N/A</v>
      </c>
      <c r="E176" s="5" cm="1">
        <f t="array" ref="E176">$E$4+(ROW(171:171)-1)*(($F$4-$E$4)/(COUNT($A$6:$A$446)-1))</f>
        <v>1999.1015909090909</v>
      </c>
      <c r="F176" s="5">
        <v>0</v>
      </c>
      <c r="G176" s="3">
        <v>0</v>
      </c>
      <c r="H176" s="3">
        <v>0</v>
      </c>
    </row>
    <row r="177" spans="1:8" x14ac:dyDescent="0.3">
      <c r="A177" s="3">
        <v>1997.84</v>
      </c>
      <c r="B177" s="3">
        <v>0.80921100000000001</v>
      </c>
      <c r="C177" s="3">
        <f t="shared" si="6"/>
        <v>0.80921100000000001</v>
      </c>
      <c r="D177" s="3" t="e">
        <f t="shared" si="7"/>
        <v>#N/A</v>
      </c>
      <c r="E177" s="5" cm="1">
        <f t="array" ref="E177">$E$4+(ROW(172:172)-1)*(($F$4-$E$4)/(COUNT($A$6:$A$446)-1))</f>
        <v>1999.1786590909092</v>
      </c>
      <c r="F177" s="5">
        <v>0</v>
      </c>
      <c r="G177" s="3">
        <v>0</v>
      </c>
      <c r="H177" s="3">
        <v>0</v>
      </c>
    </row>
    <row r="178" spans="1:8" x14ac:dyDescent="0.3">
      <c r="A178" s="3">
        <v>1997.93</v>
      </c>
      <c r="B178" s="3">
        <v>0.72270999999999996</v>
      </c>
      <c r="C178" s="3">
        <f t="shared" si="6"/>
        <v>0.72270999999999996</v>
      </c>
      <c r="D178" s="3" t="e">
        <f t="shared" si="7"/>
        <v>#N/A</v>
      </c>
      <c r="E178" s="5" cm="1">
        <f t="array" ref="E178">$E$4+(ROW(173:173)-1)*(($F$4-$E$4)/(COUNT($A$6:$A$446)-1))</f>
        <v>1999.2557272727272</v>
      </c>
      <c r="F178" s="5">
        <v>0</v>
      </c>
      <c r="G178" s="3">
        <v>0</v>
      </c>
      <c r="H178" s="3">
        <v>0</v>
      </c>
    </row>
    <row r="179" spans="1:8" x14ac:dyDescent="0.3">
      <c r="A179" s="3">
        <v>1998.1</v>
      </c>
      <c r="B179" s="3">
        <v>0.644737</v>
      </c>
      <c r="C179" s="3">
        <f t="shared" si="6"/>
        <v>0.644737</v>
      </c>
      <c r="D179" s="3" t="e">
        <f t="shared" si="7"/>
        <v>#N/A</v>
      </c>
      <c r="E179" s="5" cm="1">
        <f t="array" ref="E179">$E$4+(ROW(174:174)-1)*(($F$4-$E$4)/(COUNT($A$6:$A$446)-1))</f>
        <v>1999.3327954545455</v>
      </c>
      <c r="F179" s="5">
        <v>0</v>
      </c>
      <c r="G179" s="3">
        <v>0</v>
      </c>
      <c r="H179" s="3">
        <v>0</v>
      </c>
    </row>
    <row r="180" spans="1:8" x14ac:dyDescent="0.3">
      <c r="A180" s="3">
        <v>1998.4</v>
      </c>
      <c r="B180" s="3">
        <v>0.58503899999999998</v>
      </c>
      <c r="C180" s="3">
        <f t="shared" si="6"/>
        <v>0.58503899999999998</v>
      </c>
      <c r="D180" s="3" t="e">
        <f t="shared" si="7"/>
        <v>#N/A</v>
      </c>
      <c r="E180" s="5" cm="1">
        <f t="array" ref="E180">$E$4+(ROW(175:175)-1)*(($F$4-$E$4)/(COUNT($A$6:$A$446)-1))</f>
        <v>1999.4098636363638</v>
      </c>
      <c r="F180" s="5">
        <v>0</v>
      </c>
      <c r="G180" s="3">
        <v>0</v>
      </c>
      <c r="H180" s="3">
        <v>0</v>
      </c>
    </row>
    <row r="181" spans="1:8" x14ac:dyDescent="0.3">
      <c r="A181" s="3">
        <v>1998.52</v>
      </c>
      <c r="B181" s="3">
        <v>0.29386000000000001</v>
      </c>
      <c r="C181" s="3">
        <f t="shared" si="6"/>
        <v>0.29386000000000001</v>
      </c>
      <c r="D181" s="3" t="e">
        <f t="shared" si="7"/>
        <v>#N/A</v>
      </c>
      <c r="E181" s="5" cm="1">
        <f t="array" ref="E181">$E$4+(ROW(176:176)-1)*(($F$4-$E$4)/(COUNT($A$6:$A$446)-1))</f>
        <v>1999.4869318181818</v>
      </c>
      <c r="F181" s="5">
        <v>0</v>
      </c>
      <c r="G181" s="3">
        <v>0</v>
      </c>
      <c r="H181" s="3">
        <v>0</v>
      </c>
    </row>
    <row r="182" spans="1:8" x14ac:dyDescent="0.3">
      <c r="A182" s="3">
        <v>1998.92</v>
      </c>
      <c r="B182" s="3">
        <v>8.2845999999999996E-3</v>
      </c>
      <c r="C182" s="3">
        <f t="shared" si="6"/>
        <v>8.2845999999999996E-3</v>
      </c>
      <c r="D182" s="3" t="e">
        <f t="shared" si="7"/>
        <v>#N/A</v>
      </c>
      <c r="E182" s="5" cm="1">
        <f t="array" ref="E182">$E$4+(ROW(177:177)-1)*(($F$4-$E$4)/(COUNT($A$6:$A$446)-1))</f>
        <v>1999.5640000000001</v>
      </c>
      <c r="F182" s="5">
        <v>0</v>
      </c>
      <c r="G182" s="3">
        <v>0</v>
      </c>
      <c r="H182" s="3">
        <v>0</v>
      </c>
    </row>
    <row r="183" spans="1:8" x14ac:dyDescent="0.3">
      <c r="A183" s="3">
        <v>1998.93</v>
      </c>
      <c r="B183" s="3">
        <v>0.29386000000000001</v>
      </c>
      <c r="C183" s="3">
        <f t="shared" si="6"/>
        <v>0.29386000000000001</v>
      </c>
      <c r="D183" s="3" t="e">
        <f t="shared" si="7"/>
        <v>#N/A</v>
      </c>
      <c r="E183" s="5" cm="1">
        <f t="array" ref="E183">$E$4+(ROW(178:178)-1)*(($F$4-$E$4)/(COUNT($A$6:$A$446)-1))</f>
        <v>1999.6410681818181</v>
      </c>
      <c r="F183" s="5">
        <v>0</v>
      </c>
      <c r="G183" s="3">
        <v>0</v>
      </c>
      <c r="H183" s="3">
        <v>0</v>
      </c>
    </row>
    <row r="184" spans="1:8" x14ac:dyDescent="0.3">
      <c r="A184" s="3">
        <v>1999.81</v>
      </c>
      <c r="B184" s="3">
        <v>2.1929800000000002E-3</v>
      </c>
      <c r="C184" s="3">
        <f t="shared" si="6"/>
        <v>2.1929800000000002E-3</v>
      </c>
      <c r="D184" s="3" t="e">
        <f t="shared" si="7"/>
        <v>#N/A</v>
      </c>
      <c r="E184" s="5" cm="1">
        <f t="array" ref="E184">$E$4+(ROW(179:179)-1)*(($F$4-$E$4)/(COUNT($A$6:$A$446)-1))</f>
        <v>1999.7181363636364</v>
      </c>
      <c r="F184" s="5">
        <v>0</v>
      </c>
      <c r="G184" s="3">
        <v>0</v>
      </c>
      <c r="H184" s="3">
        <v>0</v>
      </c>
    </row>
    <row r="185" spans="1:8" x14ac:dyDescent="0.3">
      <c r="A185" s="3">
        <v>1999.9</v>
      </c>
      <c r="B185" s="3">
        <v>1.05044</v>
      </c>
      <c r="C185" s="3">
        <f t="shared" si="6"/>
        <v>1.05044</v>
      </c>
      <c r="D185" s="3" t="e">
        <f t="shared" si="7"/>
        <v>#N/A</v>
      </c>
      <c r="E185" s="5" cm="1">
        <f t="array" ref="E185">$E$4+(ROW(180:180)-1)*(($F$4-$E$4)/(COUNT($A$6:$A$446)-1))</f>
        <v>1999.7952045454547</v>
      </c>
      <c r="F185" s="5">
        <v>0</v>
      </c>
      <c r="G185" s="3">
        <v>0</v>
      </c>
      <c r="H185" s="3">
        <v>0</v>
      </c>
    </row>
    <row r="186" spans="1:8" x14ac:dyDescent="0.3">
      <c r="A186" s="3">
        <v>1999.91</v>
      </c>
      <c r="B186" s="3">
        <v>0.86038000000000003</v>
      </c>
      <c r="C186" s="3">
        <f t="shared" si="6"/>
        <v>0.86038000000000003</v>
      </c>
      <c r="D186" s="3" t="e">
        <f t="shared" si="7"/>
        <v>#N/A</v>
      </c>
      <c r="E186" s="5" cm="1">
        <f t="array" ref="E186">$E$4+(ROW(181:181)-1)*(($F$4-$E$4)/(COUNT($A$6:$A$446)-1))</f>
        <v>1999.8722727272727</v>
      </c>
      <c r="F186" s="5">
        <v>0</v>
      </c>
      <c r="G186" s="3">
        <v>0</v>
      </c>
      <c r="H186" s="3">
        <v>0</v>
      </c>
    </row>
    <row r="187" spans="1:8" x14ac:dyDescent="0.3">
      <c r="A187" s="3">
        <v>2000.08</v>
      </c>
      <c r="B187" s="3">
        <v>0.78240699999999996</v>
      </c>
      <c r="C187" s="3">
        <f t="shared" si="6"/>
        <v>0.78240699999999996</v>
      </c>
      <c r="D187" s="3" t="e">
        <f t="shared" si="7"/>
        <v>#N/A</v>
      </c>
      <c r="E187" s="5" cm="1">
        <f t="array" ref="E187">$E$4+(ROW(182:182)-1)*(($F$4-$E$4)/(COUNT($A$6:$A$446)-1))</f>
        <v>1999.949340909091</v>
      </c>
      <c r="F187" s="5">
        <v>0</v>
      </c>
      <c r="G187" s="3">
        <v>0</v>
      </c>
      <c r="H187" s="3">
        <v>0</v>
      </c>
    </row>
    <row r="188" spans="1:8" x14ac:dyDescent="0.3">
      <c r="A188" s="3">
        <v>2000.2</v>
      </c>
      <c r="B188" s="3">
        <v>0.70077999999999996</v>
      </c>
      <c r="C188" s="3">
        <f t="shared" si="6"/>
        <v>0.70077999999999996</v>
      </c>
      <c r="D188" s="3" t="e">
        <f t="shared" si="7"/>
        <v>#N/A</v>
      </c>
      <c r="E188" s="5" cm="1">
        <f t="array" ref="E188">$E$4+(ROW(183:183)-1)*(($F$4-$E$4)/(COUNT($A$6:$A$446)-1))</f>
        <v>2000.0264090909091</v>
      </c>
      <c r="F188" s="5">
        <v>0</v>
      </c>
      <c r="G188" s="3">
        <v>0</v>
      </c>
      <c r="H188" s="3">
        <v>0</v>
      </c>
    </row>
    <row r="189" spans="1:8" x14ac:dyDescent="0.3">
      <c r="A189" s="3">
        <v>2000.22</v>
      </c>
      <c r="B189" s="3">
        <v>-4.62963E-3</v>
      </c>
      <c r="C189" s="3" t="e">
        <f t="shared" si="6"/>
        <v>#N/A</v>
      </c>
      <c r="D189" s="3">
        <f t="shared" si="7"/>
        <v>-4.62963E-3</v>
      </c>
      <c r="E189" s="5" cm="1">
        <f t="array" ref="E189">$E$4+(ROW(184:184)-1)*(($F$4-$E$4)/(COUNT($A$6:$A$446)-1))</f>
        <v>2000.1034772727273</v>
      </c>
      <c r="F189" s="5">
        <v>0</v>
      </c>
      <c r="G189" s="3">
        <v>0</v>
      </c>
      <c r="H189" s="3">
        <v>0</v>
      </c>
    </row>
    <row r="190" spans="1:8" x14ac:dyDescent="0.3">
      <c r="A190" s="3">
        <v>2000.29</v>
      </c>
      <c r="B190" s="3">
        <v>-5.8479500000000002E-3</v>
      </c>
      <c r="C190" s="3" t="e">
        <f t="shared" si="6"/>
        <v>#N/A</v>
      </c>
      <c r="D190" s="3">
        <f t="shared" si="7"/>
        <v>-5.8479500000000002E-3</v>
      </c>
      <c r="E190" s="5" cm="1">
        <f t="array" ref="E190">$E$4+(ROW(185:185)-1)*(($F$4-$E$4)/(COUNT($A$6:$A$446)-1))</f>
        <v>2000.1805454545454</v>
      </c>
      <c r="F190" s="5">
        <v>0</v>
      </c>
      <c r="G190" s="3">
        <v>0</v>
      </c>
      <c r="H190" s="3">
        <v>0</v>
      </c>
    </row>
    <row r="191" spans="1:8" x14ac:dyDescent="0.3">
      <c r="A191" s="3">
        <v>2000.37</v>
      </c>
      <c r="B191" s="3">
        <v>-0.15</v>
      </c>
      <c r="C191" s="3" t="e">
        <f t="shared" si="6"/>
        <v>#N/A</v>
      </c>
      <c r="D191" s="3">
        <f t="shared" si="7"/>
        <v>-0.15</v>
      </c>
      <c r="E191" s="5" cm="1">
        <f t="array" ref="E191">$E$4+(ROW(186:186)-1)*(($F$4-$E$4)/(COUNT($A$6:$A$446)-1))</f>
        <v>2000.2576136363637</v>
      </c>
      <c r="F191" s="5">
        <v>0</v>
      </c>
      <c r="G191" s="3">
        <v>0</v>
      </c>
      <c r="H191" s="3">
        <v>0</v>
      </c>
    </row>
    <row r="192" spans="1:8" x14ac:dyDescent="0.3">
      <c r="A192" s="3">
        <v>2000.39</v>
      </c>
      <c r="B192" s="3">
        <v>-0.17</v>
      </c>
      <c r="C192" s="3" t="e">
        <f t="shared" si="6"/>
        <v>#N/A</v>
      </c>
      <c r="D192" s="3">
        <f t="shared" si="7"/>
        <v>-0.17</v>
      </c>
      <c r="E192" s="5" cm="1">
        <f t="array" ref="E192">$E$4+(ROW(187:187)-1)*(($F$4-$E$4)/(COUNT($A$6:$A$446)-1))</f>
        <v>2000.3346818181819</v>
      </c>
      <c r="F192" s="5">
        <v>0</v>
      </c>
      <c r="G192" s="3">
        <v>0</v>
      </c>
      <c r="H192" s="3">
        <v>0</v>
      </c>
    </row>
    <row r="193" spans="1:8" x14ac:dyDescent="0.3">
      <c r="A193" s="3">
        <v>2000.4</v>
      </c>
      <c r="B193" s="3">
        <v>-0.18859600000000001</v>
      </c>
      <c r="C193" s="3" t="e">
        <f t="shared" si="6"/>
        <v>#N/A</v>
      </c>
      <c r="D193" s="3">
        <f t="shared" si="7"/>
        <v>-0.18859600000000001</v>
      </c>
      <c r="E193" s="5" cm="1">
        <f t="array" ref="E193">$E$4+(ROW(188:188)-1)*(($F$4-$E$4)/(COUNT($A$6:$A$446)-1))</f>
        <v>2000.41175</v>
      </c>
      <c r="F193" s="5">
        <v>0</v>
      </c>
      <c r="G193" s="3">
        <v>0</v>
      </c>
      <c r="H193" s="3">
        <v>0</v>
      </c>
    </row>
    <row r="194" spans="1:8" x14ac:dyDescent="0.3">
      <c r="A194" s="3">
        <v>2000.45</v>
      </c>
      <c r="B194" s="3">
        <v>-0.5</v>
      </c>
      <c r="C194" s="3" t="e">
        <f t="shared" si="6"/>
        <v>#N/A</v>
      </c>
      <c r="D194" s="3">
        <f t="shared" si="7"/>
        <v>-0.5</v>
      </c>
      <c r="E194" s="5" cm="1">
        <f t="array" ref="E194">$E$4+(ROW(189:189)-1)*(($F$4-$E$4)/(COUNT($A$6:$A$446)-1))</f>
        <v>2000.4888181818183</v>
      </c>
      <c r="F194" s="5">
        <v>0</v>
      </c>
      <c r="G194" s="3">
        <v>0</v>
      </c>
      <c r="H194" s="3">
        <v>0</v>
      </c>
    </row>
    <row r="195" spans="1:8" x14ac:dyDescent="0.3">
      <c r="A195" s="3">
        <v>2000.45</v>
      </c>
      <c r="B195" s="3">
        <v>-0.2</v>
      </c>
      <c r="C195" s="3" t="e">
        <f t="shared" si="6"/>
        <v>#N/A</v>
      </c>
      <c r="D195" s="3">
        <f t="shared" si="7"/>
        <v>-0.2</v>
      </c>
      <c r="E195" s="5" cm="1">
        <f t="array" ref="E195">$E$4+(ROW(190:190)-1)*(($F$4-$E$4)/(COUNT($A$6:$A$446)-1))</f>
        <v>2000.5658863636363</v>
      </c>
      <c r="F195" s="5">
        <v>0</v>
      </c>
      <c r="G195" s="3">
        <v>0</v>
      </c>
      <c r="H195" s="3">
        <v>0</v>
      </c>
    </row>
    <row r="196" spans="1:8" x14ac:dyDescent="0.3">
      <c r="A196" s="3">
        <v>2000.47</v>
      </c>
      <c r="B196" s="3">
        <v>-0.3</v>
      </c>
      <c r="C196" s="3" t="e">
        <f t="shared" si="6"/>
        <v>#N/A</v>
      </c>
      <c r="D196" s="3">
        <f t="shared" si="7"/>
        <v>-0.3</v>
      </c>
      <c r="E196" s="5" cm="1">
        <f t="array" ref="E196">$E$4+(ROW(191:191)-1)*(($F$4-$E$4)/(COUNT($A$6:$A$446)-1))</f>
        <v>2000.6429545454546</v>
      </c>
      <c r="F196" s="5">
        <v>0</v>
      </c>
      <c r="G196" s="3">
        <v>0</v>
      </c>
      <c r="H196" s="3">
        <v>0</v>
      </c>
    </row>
    <row r="197" spans="1:8" x14ac:dyDescent="0.3">
      <c r="A197" s="3">
        <v>2000.49</v>
      </c>
      <c r="B197" s="3">
        <v>-1.8031200000000001E-2</v>
      </c>
      <c r="C197" s="3" t="e">
        <f t="shared" si="6"/>
        <v>#N/A</v>
      </c>
      <c r="D197" s="3">
        <f t="shared" si="7"/>
        <v>-1.8031200000000001E-2</v>
      </c>
      <c r="E197" s="5" cm="1">
        <f t="array" ref="E197">$E$4+(ROW(192:192)-1)*(($F$4-$E$4)/(COUNT($A$6:$A$446)-1))</f>
        <v>2000.7200227272729</v>
      </c>
      <c r="F197" s="5">
        <v>0</v>
      </c>
      <c r="G197" s="3">
        <v>0</v>
      </c>
      <c r="H197" s="3">
        <v>0</v>
      </c>
    </row>
    <row r="198" spans="1:8" x14ac:dyDescent="0.3">
      <c r="A198" s="3">
        <v>2000.49</v>
      </c>
      <c r="B198" s="3">
        <v>-2.41228E-2</v>
      </c>
      <c r="C198" s="3" t="e">
        <f t="shared" si="6"/>
        <v>#N/A</v>
      </c>
      <c r="D198" s="3">
        <f t="shared" si="7"/>
        <v>-2.41228E-2</v>
      </c>
      <c r="E198" s="5" cm="1">
        <f t="array" ref="E198">$E$4+(ROW(193:193)-1)*(($F$4-$E$4)/(COUNT($A$6:$A$446)-1))</f>
        <v>2000.7970909090909</v>
      </c>
      <c r="F198" s="5">
        <v>0</v>
      </c>
      <c r="G198" s="3">
        <v>0</v>
      </c>
      <c r="H198" s="3">
        <v>0</v>
      </c>
    </row>
    <row r="199" spans="1:8" x14ac:dyDescent="0.3">
      <c r="A199" s="3">
        <v>2000.63</v>
      </c>
      <c r="B199" s="3">
        <v>-0.111842</v>
      </c>
      <c r="C199" s="3" t="e">
        <f t="shared" ref="C199:C262" si="8">IF(B199&gt;=$C$4,B199,$D$4)</f>
        <v>#N/A</v>
      </c>
      <c r="D199" s="3">
        <f t="shared" ref="D199:D262" si="9">IF(B199&lt;=$C$4,B199,$D$4)</f>
        <v>-0.111842</v>
      </c>
      <c r="E199" s="5" cm="1">
        <f t="array" ref="E199">$E$4+(ROW(194:194)-1)*(($F$4-$E$4)/(COUNT($A$6:$A$446)-1))</f>
        <v>2000.8741590909092</v>
      </c>
      <c r="F199" s="5">
        <v>0</v>
      </c>
      <c r="G199" s="3">
        <v>0</v>
      </c>
      <c r="H199" s="3">
        <v>0</v>
      </c>
    </row>
    <row r="200" spans="1:8" x14ac:dyDescent="0.3">
      <c r="A200" s="3">
        <v>2000.75</v>
      </c>
      <c r="B200" s="3">
        <v>-0.46393800000000002</v>
      </c>
      <c r="C200" s="3" t="e">
        <f t="shared" si="8"/>
        <v>#N/A</v>
      </c>
      <c r="D200" s="3">
        <f t="shared" si="9"/>
        <v>-0.46393800000000002</v>
      </c>
      <c r="E200" s="5" cm="1">
        <f t="array" ref="E200">$E$4+(ROW(195:195)-1)*(($F$4-$E$4)/(COUNT($A$6:$A$446)-1))</f>
        <v>2000.9512272727272</v>
      </c>
      <c r="F200" s="5">
        <v>0</v>
      </c>
      <c r="G200" s="3">
        <v>0</v>
      </c>
      <c r="H200" s="3">
        <v>0</v>
      </c>
    </row>
    <row r="201" spans="1:8" x14ac:dyDescent="0.3">
      <c r="A201" s="3">
        <v>2000.85</v>
      </c>
      <c r="B201" s="3">
        <v>-0.49805100000000002</v>
      </c>
      <c r="C201" s="3" t="e">
        <f t="shared" si="8"/>
        <v>#N/A</v>
      </c>
      <c r="D201" s="3">
        <f t="shared" si="9"/>
        <v>-0.49805100000000002</v>
      </c>
      <c r="E201" s="5" cm="1">
        <f t="array" ref="E201">$E$4+(ROW(196:196)-1)*(($F$4-$E$4)/(COUNT($A$6:$A$446)-1))</f>
        <v>2001.0282954545455</v>
      </c>
      <c r="F201" s="5">
        <v>0</v>
      </c>
      <c r="G201" s="3">
        <v>0</v>
      </c>
      <c r="H201" s="3">
        <v>0</v>
      </c>
    </row>
    <row r="202" spans="1:8" x14ac:dyDescent="0.3">
      <c r="A202" s="3">
        <v>2000.85</v>
      </c>
      <c r="B202" s="3">
        <v>-0.49805100000000002</v>
      </c>
      <c r="C202" s="3" t="e">
        <f t="shared" si="8"/>
        <v>#N/A</v>
      </c>
      <c r="D202" s="3">
        <f t="shared" si="9"/>
        <v>-0.49805100000000002</v>
      </c>
      <c r="E202" s="5" cm="1">
        <f t="array" ref="E202">$E$4+(ROW(197:197)-1)*(($F$4-$E$4)/(COUNT($A$6:$A$446)-1))</f>
        <v>2001.1053636363636</v>
      </c>
      <c r="F202" s="5">
        <v>0</v>
      </c>
      <c r="G202" s="3">
        <v>0</v>
      </c>
      <c r="H202" s="3">
        <v>0</v>
      </c>
    </row>
    <row r="203" spans="1:8" x14ac:dyDescent="0.3">
      <c r="A203" s="3">
        <v>2000.87</v>
      </c>
      <c r="B203" s="3">
        <v>-0.376218</v>
      </c>
      <c r="C203" s="3" t="e">
        <f t="shared" si="8"/>
        <v>#N/A</v>
      </c>
      <c r="D203" s="3">
        <f t="shared" si="9"/>
        <v>-0.376218</v>
      </c>
      <c r="E203" s="5" cm="1">
        <f t="array" ref="E203">$E$4+(ROW(198:198)-1)*(($F$4-$E$4)/(COUNT($A$6:$A$446)-1))</f>
        <v>2001.1824318181818</v>
      </c>
      <c r="F203" s="5">
        <v>0</v>
      </c>
      <c r="G203" s="3">
        <v>0</v>
      </c>
      <c r="H203" s="3">
        <v>0</v>
      </c>
    </row>
    <row r="204" spans="1:8" x14ac:dyDescent="0.3">
      <c r="A204" s="3">
        <v>2000.88</v>
      </c>
      <c r="B204" s="3">
        <v>-0.58577000000000001</v>
      </c>
      <c r="C204" s="3" t="e">
        <f t="shared" si="8"/>
        <v>#N/A</v>
      </c>
      <c r="D204" s="3">
        <f t="shared" si="9"/>
        <v>-0.58577000000000001</v>
      </c>
      <c r="E204" s="5" cm="1">
        <f t="array" ref="E204">$E$4+(ROW(199:199)-1)*(($F$4-$E$4)/(COUNT($A$6:$A$446)-1))</f>
        <v>2001.2595000000001</v>
      </c>
      <c r="F204" s="5">
        <v>4.2</v>
      </c>
      <c r="G204" s="3">
        <v>-1</v>
      </c>
      <c r="H204" s="3">
        <v>0.05</v>
      </c>
    </row>
    <row r="205" spans="1:8" x14ac:dyDescent="0.3">
      <c r="A205" s="3">
        <v>2000.89</v>
      </c>
      <c r="B205" s="3">
        <v>-0.55165699999999995</v>
      </c>
      <c r="C205" s="3" t="e">
        <f t="shared" si="8"/>
        <v>#N/A</v>
      </c>
      <c r="D205" s="3">
        <f t="shared" si="9"/>
        <v>-0.55165699999999995</v>
      </c>
      <c r="E205" s="5" cm="1">
        <f t="array" ref="E205">$E$4+(ROW(200:200)-1)*(($F$4-$E$4)/(COUNT($A$6:$A$446)-1))</f>
        <v>2001.3365681818182</v>
      </c>
      <c r="F205" s="5">
        <v>4.2</v>
      </c>
      <c r="G205" s="3">
        <v>-1</v>
      </c>
      <c r="H205" s="3">
        <v>0.05</v>
      </c>
    </row>
    <row r="206" spans="1:8" x14ac:dyDescent="0.3">
      <c r="A206" s="3">
        <v>2001.04</v>
      </c>
      <c r="B206" s="3">
        <v>-1.07212E-2</v>
      </c>
      <c r="C206" s="3" t="e">
        <f t="shared" si="8"/>
        <v>#N/A</v>
      </c>
      <c r="D206" s="3">
        <f t="shared" si="9"/>
        <v>-1.07212E-2</v>
      </c>
      <c r="E206" s="5" cm="1">
        <f t="array" ref="E206">$E$4+(ROW(201:201)-1)*(($F$4-$E$4)/(COUNT($A$6:$A$446)-1))</f>
        <v>2001.4136363636364</v>
      </c>
      <c r="F206" s="5">
        <v>4.2</v>
      </c>
      <c r="G206" s="3">
        <v>-1</v>
      </c>
      <c r="H206" s="3">
        <v>0.05</v>
      </c>
    </row>
    <row r="207" spans="1:8" x14ac:dyDescent="0.3">
      <c r="A207" s="3">
        <v>2001.16</v>
      </c>
      <c r="B207" s="3">
        <v>-9.5029199999999998E-3</v>
      </c>
      <c r="C207" s="3" t="e">
        <f t="shared" si="8"/>
        <v>#N/A</v>
      </c>
      <c r="D207" s="3">
        <f t="shared" si="9"/>
        <v>-9.5029199999999998E-3</v>
      </c>
      <c r="E207" s="5" cm="1">
        <f t="array" ref="E207">$E$4+(ROW(202:202)-1)*(($F$4-$E$4)/(COUNT($A$6:$A$446)-1))</f>
        <v>2001.4907045454545</v>
      </c>
      <c r="F207" s="5">
        <v>4.2</v>
      </c>
      <c r="G207" s="3">
        <v>-1</v>
      </c>
      <c r="H207" s="3">
        <v>0.05</v>
      </c>
    </row>
    <row r="208" spans="1:8" x14ac:dyDescent="0.3">
      <c r="A208" s="3">
        <v>2001.21</v>
      </c>
      <c r="B208" s="3">
        <v>0.123294</v>
      </c>
      <c r="C208" s="3">
        <f t="shared" si="8"/>
        <v>0.123294</v>
      </c>
      <c r="D208" s="3" t="e">
        <f t="shared" si="9"/>
        <v>#N/A</v>
      </c>
      <c r="E208" s="5" cm="1">
        <f t="array" ref="E208">$E$4+(ROW(203:203)-1)*(($F$4-$E$4)/(COUNT($A$6:$A$446)-1))</f>
        <v>2001.5677727272728</v>
      </c>
      <c r="F208" s="5">
        <v>4.2</v>
      </c>
      <c r="G208" s="3">
        <v>-1</v>
      </c>
      <c r="H208" s="3">
        <v>0.05</v>
      </c>
    </row>
    <row r="209" spans="1:8" x14ac:dyDescent="0.3">
      <c r="A209" s="3">
        <v>2001.25</v>
      </c>
      <c r="B209" s="3">
        <v>3.6793399999999997E-2</v>
      </c>
      <c r="C209" s="3">
        <f t="shared" si="8"/>
        <v>3.6793399999999997E-2</v>
      </c>
      <c r="D209" s="3" t="e">
        <f t="shared" si="9"/>
        <v>#N/A</v>
      </c>
      <c r="E209" s="5" cm="1">
        <f t="array" ref="E209">$E$4+(ROW(204:204)-1)*(($F$4-$E$4)/(COUNT($A$6:$A$446)-1))</f>
        <v>2001.644840909091</v>
      </c>
      <c r="F209" s="5">
        <v>4.2</v>
      </c>
      <c r="G209" s="3">
        <v>-1</v>
      </c>
      <c r="H209" s="3">
        <v>0.05</v>
      </c>
    </row>
    <row r="210" spans="1:8" x14ac:dyDescent="0.3">
      <c r="A210" s="3">
        <v>2001.25</v>
      </c>
      <c r="B210" s="3">
        <v>0.20979500000000001</v>
      </c>
      <c r="C210" s="3">
        <f t="shared" si="8"/>
        <v>0.20979500000000001</v>
      </c>
      <c r="D210" s="3" t="e">
        <f t="shared" si="9"/>
        <v>#N/A</v>
      </c>
      <c r="E210" s="5" cm="1">
        <f t="array" ref="E210">$E$4+(ROW(205:205)-1)*(($F$4-$E$4)/(COUNT($A$6:$A$446)-1))</f>
        <v>2001.7219090909091</v>
      </c>
      <c r="F210" s="5">
        <v>4.2</v>
      </c>
      <c r="G210" s="3">
        <v>-1</v>
      </c>
      <c r="H210" s="3">
        <v>0.05</v>
      </c>
    </row>
    <row r="211" spans="1:8" x14ac:dyDescent="0.3">
      <c r="A211" s="3">
        <v>2001.3</v>
      </c>
      <c r="B211" s="3">
        <v>0.296296</v>
      </c>
      <c r="C211" s="3">
        <f t="shared" si="8"/>
        <v>0.296296</v>
      </c>
      <c r="D211" s="3" t="e">
        <f t="shared" si="9"/>
        <v>#N/A</v>
      </c>
      <c r="E211" s="5" cm="1">
        <f t="array" ref="E211">$E$4+(ROW(206:206)-1)*(($F$4-$E$4)/(COUNT($A$6:$A$446)-1))</f>
        <v>2001.7989772727274</v>
      </c>
      <c r="F211" s="5">
        <v>4.2</v>
      </c>
      <c r="G211" s="3">
        <v>-1</v>
      </c>
      <c r="H211" s="3">
        <v>0.05</v>
      </c>
    </row>
    <row r="212" spans="1:8" x14ac:dyDescent="0.3">
      <c r="A212" s="3">
        <v>2001.33</v>
      </c>
      <c r="B212" s="3">
        <v>0.38401600000000002</v>
      </c>
      <c r="C212" s="3">
        <f t="shared" si="8"/>
        <v>0.38401600000000002</v>
      </c>
      <c r="D212" s="3" t="e">
        <f t="shared" si="9"/>
        <v>#N/A</v>
      </c>
      <c r="E212" s="5" cm="1">
        <f t="array" ref="E212">$E$4+(ROW(207:207)-1)*(($F$4-$E$4)/(COUNT($A$6:$A$446)-1))</f>
        <v>2001.8760454545454</v>
      </c>
      <c r="F212" s="5">
        <v>4.2</v>
      </c>
      <c r="G212" s="3">
        <v>-1</v>
      </c>
      <c r="H212" s="3">
        <v>0.05</v>
      </c>
    </row>
    <row r="213" spans="1:8" x14ac:dyDescent="0.3">
      <c r="A213" s="3">
        <v>2001.34</v>
      </c>
      <c r="B213" s="3">
        <v>0.47173500000000002</v>
      </c>
      <c r="C213" s="3">
        <f t="shared" si="8"/>
        <v>0.47173500000000002</v>
      </c>
      <c r="D213" s="3" t="e">
        <f t="shared" si="9"/>
        <v>#N/A</v>
      </c>
      <c r="E213" s="5" cm="1">
        <f t="array" ref="E213">$E$4+(ROW(208:208)-1)*(($F$4-$E$4)/(COUNT($A$6:$A$446)-1))</f>
        <v>2001.9531136363637</v>
      </c>
      <c r="F213" s="5">
        <v>4.2</v>
      </c>
      <c r="G213" s="3">
        <v>-1</v>
      </c>
      <c r="H213" s="3">
        <v>0.05</v>
      </c>
    </row>
    <row r="214" spans="1:8" x14ac:dyDescent="0.3">
      <c r="A214" s="3">
        <v>2001.35</v>
      </c>
      <c r="B214" s="3">
        <v>0.55945400000000001</v>
      </c>
      <c r="C214" s="3">
        <f t="shared" si="8"/>
        <v>0.55945400000000001</v>
      </c>
      <c r="D214" s="3" t="e">
        <f t="shared" si="9"/>
        <v>#N/A</v>
      </c>
      <c r="E214" s="5" cm="1">
        <f t="array" ref="E214">$E$4+(ROW(209:209)-1)*(($F$4-$E$4)/(COUNT($A$6:$A$446)-1))</f>
        <v>2002.030181818182</v>
      </c>
      <c r="F214" s="5">
        <v>4.2</v>
      </c>
      <c r="G214" s="3">
        <v>-1</v>
      </c>
      <c r="H214" s="3">
        <v>0.05</v>
      </c>
    </row>
    <row r="215" spans="1:8" x14ac:dyDescent="0.3">
      <c r="A215" s="3">
        <v>2001.36</v>
      </c>
      <c r="B215" s="3">
        <v>0.647173</v>
      </c>
      <c r="C215" s="3">
        <f t="shared" si="8"/>
        <v>0.647173</v>
      </c>
      <c r="D215" s="3" t="e">
        <f t="shared" si="9"/>
        <v>#N/A</v>
      </c>
      <c r="E215" s="5" cm="1">
        <f t="array" ref="E215">$E$4+(ROW(210:210)-1)*(($F$4-$E$4)/(COUNT($A$6:$A$446)-1))</f>
        <v>2002.10725</v>
      </c>
      <c r="F215" s="5">
        <v>4.2</v>
      </c>
      <c r="G215" s="3">
        <v>-1</v>
      </c>
      <c r="H215" s="3">
        <v>0.05</v>
      </c>
    </row>
    <row r="216" spans="1:8" x14ac:dyDescent="0.3">
      <c r="A216" s="3">
        <v>2001.37</v>
      </c>
      <c r="B216" s="3">
        <v>0.73489300000000002</v>
      </c>
      <c r="C216" s="3">
        <f t="shared" si="8"/>
        <v>0.73489300000000002</v>
      </c>
      <c r="D216" s="3" t="e">
        <f t="shared" si="9"/>
        <v>#N/A</v>
      </c>
      <c r="E216" s="5" cm="1">
        <f t="array" ref="E216">$E$4+(ROW(211:211)-1)*(($F$4-$E$4)/(COUNT($A$6:$A$446)-1))</f>
        <v>2002.1843181818183</v>
      </c>
      <c r="F216" s="5">
        <v>4.2</v>
      </c>
      <c r="G216" s="3">
        <v>-1</v>
      </c>
      <c r="H216" s="3">
        <v>0.05</v>
      </c>
    </row>
    <row r="217" spans="1:8" x14ac:dyDescent="0.3">
      <c r="A217" s="3">
        <v>2001.39</v>
      </c>
      <c r="B217" s="3">
        <v>0.82261200000000001</v>
      </c>
      <c r="C217" s="3">
        <f t="shared" si="8"/>
        <v>0.82261200000000001</v>
      </c>
      <c r="D217" s="3" t="e">
        <f t="shared" si="9"/>
        <v>#N/A</v>
      </c>
      <c r="E217" s="5" cm="1">
        <f t="array" ref="E217">$E$4+(ROW(212:212)-1)*(($F$4-$E$4)/(COUNT($A$6:$A$446)-1))</f>
        <v>2002.2613863636363</v>
      </c>
      <c r="F217" s="5">
        <v>0</v>
      </c>
      <c r="G217" s="3">
        <v>0</v>
      </c>
      <c r="H217" s="3">
        <v>0</v>
      </c>
    </row>
    <row r="218" spans="1:8" x14ac:dyDescent="0.3">
      <c r="A218" s="3">
        <v>2001.4</v>
      </c>
      <c r="B218" s="3">
        <v>0.910331</v>
      </c>
      <c r="C218" s="3">
        <f t="shared" si="8"/>
        <v>0.910331</v>
      </c>
      <c r="D218" s="3" t="e">
        <f t="shared" si="9"/>
        <v>#N/A</v>
      </c>
      <c r="E218" s="5" cm="1">
        <f t="array" ref="E218">$E$4+(ROW(213:213)-1)*(($F$4-$E$4)/(COUNT($A$6:$A$446)-1))</f>
        <v>2002.3384545454546</v>
      </c>
      <c r="F218" s="5">
        <v>0</v>
      </c>
      <c r="G218" s="3">
        <v>0</v>
      </c>
      <c r="H218" s="3">
        <v>0</v>
      </c>
    </row>
    <row r="219" spans="1:8" x14ac:dyDescent="0.3">
      <c r="A219" s="3">
        <v>2001.41</v>
      </c>
      <c r="B219" s="3">
        <v>0.99805100000000002</v>
      </c>
      <c r="C219" s="3">
        <f t="shared" si="8"/>
        <v>0.99805100000000002</v>
      </c>
      <c r="D219" s="3" t="e">
        <f t="shared" si="9"/>
        <v>#N/A</v>
      </c>
      <c r="E219" s="5" cm="1">
        <f t="array" ref="E219">$E$4+(ROW(214:214)-1)*(($F$4-$E$4)/(COUNT($A$6:$A$446)-1))</f>
        <v>2002.4155227272727</v>
      </c>
      <c r="F219" s="5">
        <v>0</v>
      </c>
      <c r="G219" s="3">
        <v>0</v>
      </c>
      <c r="H219" s="3">
        <v>0</v>
      </c>
    </row>
    <row r="220" spans="1:8" x14ac:dyDescent="0.3">
      <c r="A220" s="3">
        <v>2001.42</v>
      </c>
      <c r="B220" s="3">
        <v>1.0857699999999999</v>
      </c>
      <c r="C220" s="3">
        <f t="shared" si="8"/>
        <v>1.0857699999999999</v>
      </c>
      <c r="D220" s="3" t="e">
        <f t="shared" si="9"/>
        <v>#N/A</v>
      </c>
      <c r="E220" s="5" cm="1">
        <f t="array" ref="E220">$E$4+(ROW(215:215)-1)*(($F$4-$E$4)/(COUNT($A$6:$A$446)-1))</f>
        <v>2002.4925909090909</v>
      </c>
      <c r="F220" s="5">
        <v>0</v>
      </c>
      <c r="G220" s="3">
        <v>0</v>
      </c>
      <c r="H220" s="3">
        <v>0</v>
      </c>
    </row>
    <row r="221" spans="1:8" x14ac:dyDescent="0.3">
      <c r="A221" s="3">
        <v>2001.42</v>
      </c>
      <c r="B221" s="3">
        <v>1.1747099999999999</v>
      </c>
      <c r="C221" s="3">
        <f t="shared" si="8"/>
        <v>1.1747099999999999</v>
      </c>
      <c r="D221" s="3" t="e">
        <f t="shared" si="9"/>
        <v>#N/A</v>
      </c>
      <c r="E221" s="5" cm="1">
        <f t="array" ref="E221">$E$4+(ROW(216:216)-1)*(($F$4-$E$4)/(COUNT($A$6:$A$446)-1))</f>
        <v>2002.5696590909092</v>
      </c>
      <c r="F221" s="5">
        <v>0</v>
      </c>
      <c r="G221" s="3">
        <v>0</v>
      </c>
      <c r="H221" s="3">
        <v>0</v>
      </c>
    </row>
    <row r="222" spans="1:8" x14ac:dyDescent="0.3">
      <c r="A222" s="3">
        <v>2001.44</v>
      </c>
      <c r="B222" s="3">
        <v>1.2624299999999999</v>
      </c>
      <c r="C222" s="3">
        <f t="shared" si="8"/>
        <v>1.2624299999999999</v>
      </c>
      <c r="D222" s="3" t="e">
        <f t="shared" si="9"/>
        <v>#N/A</v>
      </c>
      <c r="E222" s="5" cm="1">
        <f t="array" ref="E222">$E$4+(ROW(217:217)-1)*(($F$4-$E$4)/(COUNT($A$6:$A$446)-1))</f>
        <v>2002.6467272727273</v>
      </c>
      <c r="F222" s="5">
        <v>0</v>
      </c>
      <c r="G222" s="3">
        <v>0</v>
      </c>
      <c r="H222" s="3">
        <v>0</v>
      </c>
    </row>
    <row r="223" spans="1:8" x14ac:dyDescent="0.3">
      <c r="A223" s="3">
        <v>2001.45</v>
      </c>
      <c r="B223" s="3">
        <v>4.62963E-3</v>
      </c>
      <c r="C223" s="3">
        <f t="shared" si="8"/>
        <v>4.62963E-3</v>
      </c>
      <c r="D223" s="3" t="e">
        <f t="shared" si="9"/>
        <v>#N/A</v>
      </c>
      <c r="E223" s="5" cm="1">
        <f t="array" ref="E223">$E$4+(ROW(218:218)-1)*(($F$4-$E$4)/(COUNT($A$6:$A$446)-1))</f>
        <v>2002.7237954545456</v>
      </c>
      <c r="F223" s="5">
        <v>0</v>
      </c>
      <c r="G223" s="3">
        <v>0</v>
      </c>
      <c r="H223" s="3">
        <v>0</v>
      </c>
    </row>
    <row r="224" spans="1:8" x14ac:dyDescent="0.3">
      <c r="A224" s="3">
        <v>2001.52</v>
      </c>
      <c r="B224" s="3">
        <v>1.34649</v>
      </c>
      <c r="C224" s="3">
        <f t="shared" si="8"/>
        <v>1.34649</v>
      </c>
      <c r="D224" s="3" t="e">
        <f t="shared" si="9"/>
        <v>#N/A</v>
      </c>
      <c r="E224" s="5" cm="1">
        <f t="array" ref="E224">$E$4+(ROW(219:219)-1)*(($F$4-$E$4)/(COUNT($A$6:$A$446)-1))</f>
        <v>2002.8008636363636</v>
      </c>
      <c r="F224" s="5">
        <v>0</v>
      </c>
      <c r="G224" s="3">
        <v>0</v>
      </c>
      <c r="H224" s="3">
        <v>0</v>
      </c>
    </row>
    <row r="225" spans="1:8" x14ac:dyDescent="0.3">
      <c r="A225" s="3">
        <v>2001.57</v>
      </c>
      <c r="B225" s="3">
        <v>2.1929800000000002E-3</v>
      </c>
      <c r="C225" s="3">
        <f t="shared" si="8"/>
        <v>2.1929800000000002E-3</v>
      </c>
      <c r="D225" s="3" t="e">
        <f t="shared" si="9"/>
        <v>#N/A</v>
      </c>
      <c r="E225" s="5" cm="1">
        <f t="array" ref="E225">$E$4+(ROW(220:220)-1)*(($F$4-$E$4)/(COUNT($A$6:$A$446)-1))</f>
        <v>2002.8779318181819</v>
      </c>
      <c r="F225" s="5">
        <v>0</v>
      </c>
      <c r="G225" s="3">
        <v>0</v>
      </c>
      <c r="H225" s="3">
        <v>0</v>
      </c>
    </row>
    <row r="226" spans="1:8" x14ac:dyDescent="0.3">
      <c r="A226" s="3">
        <v>2001.61</v>
      </c>
      <c r="B226" s="3">
        <v>1.4293400000000001</v>
      </c>
      <c r="C226" s="3">
        <f t="shared" si="8"/>
        <v>1.4293400000000001</v>
      </c>
      <c r="D226" s="3" t="e">
        <f t="shared" si="9"/>
        <v>#N/A</v>
      </c>
      <c r="E226" s="5" cm="1">
        <f t="array" ref="E226">$E$4+(ROW(221:221)-1)*(($F$4-$E$4)/(COUNT($A$6:$A$446)-1))</f>
        <v>2002.9549999999999</v>
      </c>
      <c r="F226" s="5">
        <v>0</v>
      </c>
      <c r="G226" s="3">
        <v>0</v>
      </c>
      <c r="H226" s="3">
        <v>0</v>
      </c>
    </row>
    <row r="227" spans="1:8" x14ac:dyDescent="0.3">
      <c r="A227" s="3">
        <v>2001.67</v>
      </c>
      <c r="B227" s="3">
        <v>1.5134000000000001</v>
      </c>
      <c r="C227" s="3">
        <f t="shared" si="8"/>
        <v>1.5134000000000001</v>
      </c>
      <c r="D227" s="3" t="e">
        <f t="shared" si="9"/>
        <v>#N/A</v>
      </c>
      <c r="E227" s="5" cm="1">
        <f t="array" ref="E227">$E$4+(ROW(222:222)-1)*(($F$4-$E$4)/(COUNT($A$6:$A$446)-1))</f>
        <v>2003.0320681818182</v>
      </c>
      <c r="F227" s="5">
        <v>0</v>
      </c>
      <c r="G227" s="3">
        <v>0</v>
      </c>
      <c r="H227" s="3">
        <v>0</v>
      </c>
    </row>
    <row r="228" spans="1:8" x14ac:dyDescent="0.3">
      <c r="A228" s="3">
        <v>2001.7</v>
      </c>
      <c r="B228" s="3">
        <v>1.5999000000000001</v>
      </c>
      <c r="C228" s="3">
        <f t="shared" si="8"/>
        <v>1.5999000000000001</v>
      </c>
      <c r="D228" s="3" t="e">
        <f t="shared" si="9"/>
        <v>#N/A</v>
      </c>
      <c r="E228" s="5" cm="1">
        <f t="array" ref="E228">$E$4+(ROW(223:223)-1)*(($F$4-$E$4)/(COUNT($A$6:$A$446)-1))</f>
        <v>2003.1091363636365</v>
      </c>
      <c r="F228" s="5">
        <v>0</v>
      </c>
      <c r="G228" s="3">
        <v>0</v>
      </c>
      <c r="H228" s="3">
        <v>0</v>
      </c>
    </row>
    <row r="229" spans="1:8" x14ac:dyDescent="0.3">
      <c r="A229" s="3">
        <v>2001.7</v>
      </c>
      <c r="B229" s="3">
        <v>1.6863999999999999</v>
      </c>
      <c r="C229" s="3">
        <f t="shared" si="8"/>
        <v>1.6863999999999999</v>
      </c>
      <c r="D229" s="3" t="e">
        <f t="shared" si="9"/>
        <v>#N/A</v>
      </c>
      <c r="E229" s="5" cm="1">
        <f t="array" ref="E229">$E$4+(ROW(224:224)-1)*(($F$4-$E$4)/(COUNT($A$6:$A$446)-1))</f>
        <v>2003.1862045454545</v>
      </c>
      <c r="F229" s="5">
        <v>0</v>
      </c>
      <c r="G229" s="3">
        <v>0</v>
      </c>
      <c r="H229" s="3">
        <v>0</v>
      </c>
    </row>
    <row r="230" spans="1:8" x14ac:dyDescent="0.3">
      <c r="A230" s="3">
        <v>2001.71</v>
      </c>
      <c r="B230" s="3">
        <v>1.7728999999999999</v>
      </c>
      <c r="C230" s="3">
        <f t="shared" si="8"/>
        <v>1.7728999999999999</v>
      </c>
      <c r="D230" s="3" t="e">
        <f t="shared" si="9"/>
        <v>#N/A</v>
      </c>
      <c r="E230" s="5" cm="1">
        <f t="array" ref="E230">$E$4+(ROW(225:225)-1)*(($F$4-$E$4)/(COUNT($A$6:$A$446)-1))</f>
        <v>2003.2632727272728</v>
      </c>
      <c r="F230" s="5">
        <v>0</v>
      </c>
      <c r="G230" s="3">
        <v>0</v>
      </c>
      <c r="H230" s="3">
        <v>0</v>
      </c>
    </row>
    <row r="231" spans="1:8" x14ac:dyDescent="0.3">
      <c r="A231" s="3">
        <v>2001.78</v>
      </c>
      <c r="B231" s="3">
        <v>1.85819</v>
      </c>
      <c r="C231" s="3">
        <f t="shared" si="8"/>
        <v>1.85819</v>
      </c>
      <c r="D231" s="3" t="e">
        <f t="shared" si="9"/>
        <v>#N/A</v>
      </c>
      <c r="E231" s="5" cm="1">
        <f t="array" ref="E231">$E$4+(ROW(226:226)-1)*(($F$4-$E$4)/(COUNT($A$6:$A$446)-1))</f>
        <v>2003.3403409090909</v>
      </c>
      <c r="F231" s="5">
        <v>0</v>
      </c>
      <c r="G231" s="3">
        <v>0</v>
      </c>
      <c r="H231" s="3">
        <v>0</v>
      </c>
    </row>
    <row r="232" spans="1:8" x14ac:dyDescent="0.3">
      <c r="A232" s="3">
        <v>2001.85</v>
      </c>
      <c r="B232" s="3">
        <v>1.94103</v>
      </c>
      <c r="C232" s="3">
        <f t="shared" si="8"/>
        <v>1.94103</v>
      </c>
      <c r="D232" s="3" t="e">
        <f t="shared" si="9"/>
        <v>#N/A</v>
      </c>
      <c r="E232" s="5" cm="1">
        <f t="array" ref="E232">$E$4+(ROW(227:227)-1)*(($F$4-$E$4)/(COUNT($A$6:$A$446)-1))</f>
        <v>2003.4174090909091</v>
      </c>
      <c r="F232" s="5">
        <v>0</v>
      </c>
      <c r="G232" s="3">
        <v>0</v>
      </c>
      <c r="H232" s="3">
        <v>0</v>
      </c>
    </row>
    <row r="233" spans="1:8" x14ac:dyDescent="0.3">
      <c r="A233" s="3">
        <v>2001.86</v>
      </c>
      <c r="B233" s="3">
        <v>2.1929800000000002E-3</v>
      </c>
      <c r="C233" s="3">
        <f t="shared" si="8"/>
        <v>2.1929800000000002E-3</v>
      </c>
      <c r="D233" s="3" t="e">
        <f t="shared" si="9"/>
        <v>#N/A</v>
      </c>
      <c r="E233" s="5" cm="1">
        <f t="array" ref="E233">$E$4+(ROW(228:228)-1)*(($F$4-$E$4)/(COUNT($A$6:$A$446)-1))</f>
        <v>2003.4944772727274</v>
      </c>
      <c r="F233" s="5">
        <v>0</v>
      </c>
      <c r="G233" s="3">
        <v>0</v>
      </c>
      <c r="H233" s="3">
        <v>0</v>
      </c>
    </row>
    <row r="234" spans="1:8" x14ac:dyDescent="0.3">
      <c r="A234" s="3">
        <v>2001.9</v>
      </c>
      <c r="B234" s="3">
        <v>2.0263200000000001</v>
      </c>
      <c r="C234" s="3">
        <f t="shared" si="8"/>
        <v>2.0263200000000001</v>
      </c>
      <c r="D234" s="3" t="e">
        <f t="shared" si="9"/>
        <v>#N/A</v>
      </c>
      <c r="E234" s="5" cm="1">
        <f t="array" ref="E234">$E$4+(ROW(229:229)-1)*(($F$4-$E$4)/(COUNT($A$6:$A$446)-1))</f>
        <v>2003.5715454545455</v>
      </c>
      <c r="F234" s="5">
        <v>0</v>
      </c>
      <c r="G234" s="3">
        <v>0</v>
      </c>
      <c r="H234" s="3">
        <v>0</v>
      </c>
    </row>
    <row r="235" spans="1:8" x14ac:dyDescent="0.3">
      <c r="A235" s="3">
        <v>2001.94</v>
      </c>
      <c r="B235" s="3">
        <v>2.1140400000000001</v>
      </c>
      <c r="C235" s="3">
        <f t="shared" si="8"/>
        <v>2.1140400000000001</v>
      </c>
      <c r="D235" s="3" t="e">
        <f t="shared" si="9"/>
        <v>#N/A</v>
      </c>
      <c r="E235" s="5" cm="1">
        <f t="array" ref="E235">$E$4+(ROW(230:230)-1)*(($F$4-$E$4)/(COUNT($A$6:$A$446)-1))</f>
        <v>2003.6486136363637</v>
      </c>
      <c r="F235" s="5">
        <v>0</v>
      </c>
      <c r="G235" s="3">
        <v>0</v>
      </c>
      <c r="H235" s="3">
        <v>0</v>
      </c>
    </row>
    <row r="236" spans="1:8" x14ac:dyDescent="0.3">
      <c r="A236" s="3">
        <v>2001.97</v>
      </c>
      <c r="B236" s="3">
        <v>2.2005400000000002</v>
      </c>
      <c r="C236" s="3">
        <f t="shared" si="8"/>
        <v>2.2005400000000002</v>
      </c>
      <c r="D236" s="3" t="e">
        <f t="shared" si="9"/>
        <v>#N/A</v>
      </c>
      <c r="E236" s="5" cm="1">
        <f t="array" ref="E236">$E$4+(ROW(231:231)-1)*(($F$4-$E$4)/(COUNT($A$6:$A$446)-1))</f>
        <v>2003.7256818181818</v>
      </c>
      <c r="F236" s="5">
        <v>0</v>
      </c>
      <c r="G236" s="3">
        <v>0</v>
      </c>
      <c r="H236" s="3">
        <v>0</v>
      </c>
    </row>
    <row r="237" spans="1:8" x14ac:dyDescent="0.3">
      <c r="A237" s="3">
        <v>2001.99</v>
      </c>
      <c r="B237" s="3">
        <v>2.2882600000000002</v>
      </c>
      <c r="C237" s="3">
        <f t="shared" si="8"/>
        <v>2.2882600000000002</v>
      </c>
      <c r="D237" s="3" t="e">
        <f t="shared" si="9"/>
        <v>#N/A</v>
      </c>
      <c r="E237" s="5" cm="1">
        <f t="array" ref="E237">$E$4+(ROW(232:232)-1)*(($F$4-$E$4)/(COUNT($A$6:$A$446)-1))</f>
        <v>2003.8027500000001</v>
      </c>
      <c r="F237" s="5">
        <v>0</v>
      </c>
      <c r="G237" s="3">
        <v>0</v>
      </c>
      <c r="H237" s="3">
        <v>0</v>
      </c>
    </row>
    <row r="238" spans="1:8" x14ac:dyDescent="0.3">
      <c r="A238" s="3">
        <v>2002</v>
      </c>
      <c r="B238" s="3">
        <v>2.3759700000000001</v>
      </c>
      <c r="C238" s="3">
        <f t="shared" si="8"/>
        <v>2.3759700000000001</v>
      </c>
      <c r="D238" s="3" t="e">
        <f t="shared" si="9"/>
        <v>#N/A</v>
      </c>
      <c r="E238" s="5" cm="1">
        <f t="array" ref="E238">$E$4+(ROW(233:233)-1)*(($F$4-$E$4)/(COUNT($A$6:$A$446)-1))</f>
        <v>2003.8798181818183</v>
      </c>
      <c r="F238" s="5">
        <v>0</v>
      </c>
      <c r="G238" s="3">
        <v>0</v>
      </c>
      <c r="H238" s="3">
        <v>0</v>
      </c>
    </row>
    <row r="239" spans="1:8" x14ac:dyDescent="0.3">
      <c r="A239" s="3">
        <v>2002.03</v>
      </c>
      <c r="B239" s="3">
        <v>2.4636900000000002</v>
      </c>
      <c r="C239" s="3">
        <f t="shared" si="8"/>
        <v>2.4636900000000002</v>
      </c>
      <c r="D239" s="3" t="e">
        <f t="shared" si="9"/>
        <v>#N/A</v>
      </c>
      <c r="E239" s="5" cm="1">
        <f t="array" ref="E239">$E$4+(ROW(234:234)-1)*(($F$4-$E$4)/(COUNT($A$6:$A$446)-1))</f>
        <v>2003.9568863636364</v>
      </c>
      <c r="F239" s="5">
        <v>0</v>
      </c>
      <c r="G239" s="3">
        <v>0</v>
      </c>
      <c r="H239" s="3">
        <v>0</v>
      </c>
    </row>
    <row r="240" spans="1:8" x14ac:dyDescent="0.3">
      <c r="A240" s="3">
        <v>2002.06</v>
      </c>
      <c r="B240" s="3">
        <v>2.5501900000000002</v>
      </c>
      <c r="C240" s="3">
        <f t="shared" si="8"/>
        <v>2.5501900000000002</v>
      </c>
      <c r="D240" s="3" t="e">
        <f t="shared" si="9"/>
        <v>#N/A</v>
      </c>
      <c r="E240" s="5" cm="1">
        <f t="array" ref="E240">$E$4+(ROW(235:235)-1)*(($F$4-$E$4)/(COUNT($A$6:$A$446)-1))</f>
        <v>2004.0339545454547</v>
      </c>
      <c r="F240" s="5">
        <v>0</v>
      </c>
      <c r="G240" s="3">
        <v>0</v>
      </c>
      <c r="H240" s="3">
        <v>0</v>
      </c>
    </row>
    <row r="241" spans="1:8" x14ac:dyDescent="0.3">
      <c r="A241" s="3">
        <v>2002.09</v>
      </c>
      <c r="B241" s="3">
        <v>2.6379100000000002</v>
      </c>
      <c r="C241" s="3">
        <f t="shared" si="8"/>
        <v>2.6379100000000002</v>
      </c>
      <c r="D241" s="3" t="e">
        <f t="shared" si="9"/>
        <v>#N/A</v>
      </c>
      <c r="E241" s="5" cm="1">
        <f t="array" ref="E241">$E$4+(ROW(236:236)-1)*(($F$4-$E$4)/(COUNT($A$6:$A$446)-1))</f>
        <v>2004.1110227272727</v>
      </c>
      <c r="F241" s="5">
        <v>0</v>
      </c>
      <c r="G241" s="3">
        <v>0</v>
      </c>
      <c r="H241" s="3">
        <v>0</v>
      </c>
    </row>
    <row r="242" spans="1:8" x14ac:dyDescent="0.3">
      <c r="A242" s="3">
        <v>2002.1</v>
      </c>
      <c r="B242" s="3">
        <v>2.7256300000000002</v>
      </c>
      <c r="C242" s="3">
        <f t="shared" si="8"/>
        <v>2.7256300000000002</v>
      </c>
      <c r="D242" s="3" t="e">
        <f t="shared" si="9"/>
        <v>#N/A</v>
      </c>
      <c r="E242" s="5" cm="1">
        <f t="array" ref="E242">$E$4+(ROW(237:237)-1)*(($F$4-$E$4)/(COUNT($A$6:$A$446)-1))</f>
        <v>2004.188090909091</v>
      </c>
      <c r="F242" s="5">
        <v>0</v>
      </c>
      <c r="G242" s="3">
        <v>0</v>
      </c>
      <c r="H242" s="3">
        <v>0</v>
      </c>
    </row>
    <row r="243" spans="1:8" x14ac:dyDescent="0.3">
      <c r="A243" s="3">
        <v>2002.11</v>
      </c>
      <c r="B243" s="3">
        <v>2.8133499999999998</v>
      </c>
      <c r="C243" s="3">
        <f t="shared" si="8"/>
        <v>2.8133499999999998</v>
      </c>
      <c r="D243" s="3" t="e">
        <f t="shared" si="9"/>
        <v>#N/A</v>
      </c>
      <c r="E243" s="5" cm="1">
        <f t="array" ref="E243">$E$4+(ROW(238:238)-1)*(($F$4-$E$4)/(COUNT($A$6:$A$446)-1))</f>
        <v>2004.265159090909</v>
      </c>
      <c r="F243" s="5">
        <v>0</v>
      </c>
      <c r="G243" s="3">
        <v>0</v>
      </c>
      <c r="H243" s="3">
        <v>0</v>
      </c>
    </row>
    <row r="244" spans="1:8" x14ac:dyDescent="0.3">
      <c r="A244" s="3">
        <v>2002.12</v>
      </c>
      <c r="B244" s="3">
        <v>2.9035099999999998</v>
      </c>
      <c r="C244" s="3">
        <f t="shared" si="8"/>
        <v>2.9035099999999998</v>
      </c>
      <c r="D244" s="3" t="e">
        <f t="shared" si="9"/>
        <v>#N/A</v>
      </c>
      <c r="E244" s="5" cm="1">
        <f t="array" ref="E244">$E$4+(ROW(239:239)-1)*(($F$4-$E$4)/(COUNT($A$6:$A$446)-1))</f>
        <v>2004.3422272727273</v>
      </c>
      <c r="F244" s="5">
        <v>0</v>
      </c>
      <c r="G244" s="3">
        <v>0</v>
      </c>
      <c r="H244" s="3">
        <v>0</v>
      </c>
    </row>
    <row r="245" spans="1:8" x14ac:dyDescent="0.3">
      <c r="A245" s="3">
        <v>2002.15</v>
      </c>
      <c r="B245" s="3">
        <v>2.9936600000000002</v>
      </c>
      <c r="C245" s="3">
        <f t="shared" si="8"/>
        <v>2.9936600000000002</v>
      </c>
      <c r="D245" s="3" t="e">
        <f t="shared" si="9"/>
        <v>#N/A</v>
      </c>
      <c r="E245" s="5" cm="1">
        <f t="array" ref="E245">$E$4+(ROW(240:240)-1)*(($F$4-$E$4)/(COUNT($A$6:$A$446)-1))</f>
        <v>2004.4192954545456</v>
      </c>
      <c r="F245" s="5">
        <v>0</v>
      </c>
      <c r="G245" s="3">
        <v>0</v>
      </c>
      <c r="H245" s="3">
        <v>0</v>
      </c>
    </row>
    <row r="246" spans="1:8" x14ac:dyDescent="0.3">
      <c r="A246" s="3">
        <v>2002.27</v>
      </c>
      <c r="B246" s="3">
        <v>2.1929800000000002E-3</v>
      </c>
      <c r="C246" s="3">
        <f t="shared" si="8"/>
        <v>2.1929800000000002E-3</v>
      </c>
      <c r="D246" s="3" t="e">
        <f t="shared" si="9"/>
        <v>#N/A</v>
      </c>
      <c r="E246" s="5" cm="1">
        <f t="array" ref="E246">$E$4+(ROW(241:241)-1)*(($F$4-$E$4)/(COUNT($A$6:$A$446)-1))</f>
        <v>2004.4963636363636</v>
      </c>
      <c r="F246" s="5">
        <v>0</v>
      </c>
      <c r="G246" s="3">
        <v>0</v>
      </c>
      <c r="H246" s="3">
        <v>0</v>
      </c>
    </row>
    <row r="247" spans="1:8" x14ac:dyDescent="0.3">
      <c r="A247" s="3">
        <v>2002.27</v>
      </c>
      <c r="B247" s="3">
        <v>3.0740699999999999</v>
      </c>
      <c r="C247" s="3">
        <f t="shared" si="8"/>
        <v>3.0740699999999999</v>
      </c>
      <c r="D247" s="3" t="e">
        <f t="shared" si="9"/>
        <v>#N/A</v>
      </c>
      <c r="E247" s="5" cm="1">
        <f t="array" ref="E247">$E$4+(ROW(242:242)-1)*(($F$4-$E$4)/(COUNT($A$6:$A$446)-1))</f>
        <v>2004.5734318181819</v>
      </c>
      <c r="F247" s="5">
        <v>0</v>
      </c>
      <c r="G247" s="3">
        <v>0</v>
      </c>
      <c r="H247" s="3">
        <v>0</v>
      </c>
    </row>
    <row r="248" spans="1:8" x14ac:dyDescent="0.3">
      <c r="A248" s="3">
        <v>2002.58</v>
      </c>
      <c r="B248" s="3">
        <v>3.1325500000000002</v>
      </c>
      <c r="C248" s="3">
        <f t="shared" si="8"/>
        <v>3.1325500000000002</v>
      </c>
      <c r="D248" s="3" t="e">
        <f t="shared" si="9"/>
        <v>#N/A</v>
      </c>
      <c r="E248" s="5" cm="1">
        <f t="array" ref="E248">$E$4+(ROW(243:243)-1)*(($F$4-$E$4)/(COUNT($A$6:$A$446)-1))</f>
        <v>2004.6505</v>
      </c>
      <c r="F248" s="5">
        <v>0</v>
      </c>
      <c r="G248" s="3">
        <v>0</v>
      </c>
      <c r="H248" s="3">
        <v>0</v>
      </c>
    </row>
    <row r="249" spans="1:8" x14ac:dyDescent="0.3">
      <c r="A249" s="3">
        <v>2002.93</v>
      </c>
      <c r="B249" s="3">
        <v>2.3430800000000001</v>
      </c>
      <c r="C249" s="3">
        <f t="shared" si="8"/>
        <v>2.3430800000000001</v>
      </c>
      <c r="D249" s="3" t="e">
        <f t="shared" si="9"/>
        <v>#N/A</v>
      </c>
      <c r="E249" s="5" cm="1">
        <f t="array" ref="E249">$E$4+(ROW(244:244)-1)*(($F$4-$E$4)/(COUNT($A$6:$A$446)-1))</f>
        <v>2004.7275681818182</v>
      </c>
      <c r="F249" s="5">
        <v>0</v>
      </c>
      <c r="G249" s="3">
        <v>0</v>
      </c>
      <c r="H249" s="3">
        <v>0</v>
      </c>
    </row>
    <row r="250" spans="1:8" x14ac:dyDescent="0.3">
      <c r="A250" s="3">
        <v>2002.93</v>
      </c>
      <c r="B250" s="3">
        <v>2.0787</v>
      </c>
      <c r="C250" s="3">
        <f t="shared" si="8"/>
        <v>2.0787</v>
      </c>
      <c r="D250" s="3" t="e">
        <f t="shared" si="9"/>
        <v>#N/A</v>
      </c>
      <c r="E250" s="5" cm="1">
        <f t="array" ref="E250">$E$4+(ROW(245:245)-1)*(($F$4-$E$4)/(COUNT($A$6:$A$446)-1))</f>
        <v>2004.8046363636365</v>
      </c>
      <c r="F250" s="5">
        <v>0</v>
      </c>
      <c r="G250" s="3">
        <v>0</v>
      </c>
      <c r="H250" s="3">
        <v>0</v>
      </c>
    </row>
    <row r="251" spans="1:8" x14ac:dyDescent="0.3">
      <c r="A251" s="3">
        <v>2002.94</v>
      </c>
      <c r="B251" s="3">
        <v>2.16642</v>
      </c>
      <c r="C251" s="3">
        <f t="shared" si="8"/>
        <v>2.16642</v>
      </c>
      <c r="D251" s="3" t="e">
        <f t="shared" si="9"/>
        <v>#N/A</v>
      </c>
      <c r="E251" s="5" cm="1">
        <f t="array" ref="E251">$E$4+(ROW(246:246)-1)*(($F$4-$E$4)/(COUNT($A$6:$A$446)-1))</f>
        <v>2004.8817045454546</v>
      </c>
      <c r="F251" s="5">
        <v>0</v>
      </c>
      <c r="G251" s="3">
        <v>0</v>
      </c>
      <c r="H251" s="3">
        <v>0</v>
      </c>
    </row>
    <row r="252" spans="1:8" x14ac:dyDescent="0.3">
      <c r="A252" s="3">
        <v>2002.94</v>
      </c>
      <c r="B252" s="3">
        <v>2.25414</v>
      </c>
      <c r="C252" s="3">
        <f t="shared" si="8"/>
        <v>2.25414</v>
      </c>
      <c r="D252" s="3" t="e">
        <f t="shared" si="9"/>
        <v>#N/A</v>
      </c>
      <c r="E252" s="5" cm="1">
        <f t="array" ref="E252">$E$4+(ROW(247:247)-1)*(($F$4-$E$4)/(COUNT($A$6:$A$446)-1))</f>
        <v>2004.9587727272728</v>
      </c>
      <c r="F252" s="5">
        <v>0</v>
      </c>
      <c r="G252" s="3">
        <v>0</v>
      </c>
      <c r="H252" s="3">
        <v>0</v>
      </c>
    </row>
    <row r="253" spans="1:8" x14ac:dyDescent="0.3">
      <c r="A253" s="3">
        <v>2002.98</v>
      </c>
      <c r="B253" s="3">
        <v>2.4295800000000001</v>
      </c>
      <c r="C253" s="3">
        <f t="shared" si="8"/>
        <v>2.4295800000000001</v>
      </c>
      <c r="D253" s="3" t="e">
        <f t="shared" si="9"/>
        <v>#N/A</v>
      </c>
      <c r="E253" s="5" cm="1">
        <f t="array" ref="E253">$E$4+(ROW(248:248)-1)*(($F$4-$E$4)/(COUNT($A$6:$A$446)-1))</f>
        <v>2005.0358409090909</v>
      </c>
      <c r="F253" s="5">
        <v>0</v>
      </c>
      <c r="G253" s="3">
        <v>0</v>
      </c>
      <c r="H253" s="3">
        <v>0</v>
      </c>
    </row>
    <row r="254" spans="1:8" x14ac:dyDescent="0.3">
      <c r="A254" s="3">
        <v>2003.08</v>
      </c>
      <c r="B254" s="3">
        <v>2.7231999999999998</v>
      </c>
      <c r="C254" s="3">
        <f t="shared" si="8"/>
        <v>2.7231999999999998</v>
      </c>
      <c r="D254" s="3" t="e">
        <f t="shared" si="9"/>
        <v>#N/A</v>
      </c>
      <c r="E254" s="5" cm="1">
        <f t="array" ref="E254">$E$4+(ROW(249:249)-1)*(($F$4-$E$4)/(COUNT($A$6:$A$446)-1))</f>
        <v>2005.1129090909092</v>
      </c>
      <c r="F254" s="5">
        <v>0</v>
      </c>
      <c r="G254" s="3">
        <v>0</v>
      </c>
      <c r="H254" s="3">
        <v>0</v>
      </c>
    </row>
    <row r="255" spans="1:8" x14ac:dyDescent="0.3">
      <c r="A255" s="3">
        <v>2003.14</v>
      </c>
      <c r="B255" s="3">
        <v>2.5075500000000002</v>
      </c>
      <c r="C255" s="3">
        <f t="shared" si="8"/>
        <v>2.5075500000000002</v>
      </c>
      <c r="D255" s="3" t="e">
        <f t="shared" si="9"/>
        <v>#N/A</v>
      </c>
      <c r="E255" s="5" cm="1">
        <f t="array" ref="E255">$E$4+(ROW(250:250)-1)*(($F$4-$E$4)/(COUNT($A$6:$A$446)-1))</f>
        <v>2005.1899772727272</v>
      </c>
      <c r="F255" s="5">
        <v>0</v>
      </c>
      <c r="G255" s="3">
        <v>0</v>
      </c>
      <c r="H255" s="3">
        <v>0</v>
      </c>
    </row>
    <row r="256" spans="1:8" x14ac:dyDescent="0.3">
      <c r="A256" s="3">
        <v>2003.4</v>
      </c>
      <c r="B256" s="3">
        <v>2.57578</v>
      </c>
      <c r="C256" s="3">
        <f t="shared" si="8"/>
        <v>2.57578</v>
      </c>
      <c r="D256" s="3" t="e">
        <f t="shared" si="9"/>
        <v>#N/A</v>
      </c>
      <c r="E256" s="5" cm="1">
        <f t="array" ref="E256">$E$4+(ROW(251:251)-1)*(($F$4-$E$4)/(COUNT($A$6:$A$446)-1))</f>
        <v>2005.2670454545455</v>
      </c>
      <c r="F256" s="5">
        <v>0</v>
      </c>
      <c r="G256" s="3">
        <v>0</v>
      </c>
      <c r="H256" s="3">
        <v>0</v>
      </c>
    </row>
    <row r="257" spans="1:8" x14ac:dyDescent="0.3">
      <c r="A257" s="3">
        <v>2003.49</v>
      </c>
      <c r="B257" s="3">
        <v>2.7171099999999999</v>
      </c>
      <c r="C257" s="3">
        <f t="shared" si="8"/>
        <v>2.7171099999999999</v>
      </c>
      <c r="D257" s="3" t="e">
        <f t="shared" si="9"/>
        <v>#N/A</v>
      </c>
      <c r="E257" s="5" cm="1">
        <f t="array" ref="E257">$E$4+(ROW(252:252)-1)*(($F$4-$E$4)/(COUNT($A$6:$A$446)-1))</f>
        <v>2005.3441136363638</v>
      </c>
      <c r="F257" s="5">
        <v>0</v>
      </c>
      <c r="G257" s="3">
        <v>0</v>
      </c>
      <c r="H257" s="3">
        <v>0</v>
      </c>
    </row>
    <row r="258" spans="1:8" x14ac:dyDescent="0.3">
      <c r="A258" s="3">
        <v>2004.14</v>
      </c>
      <c r="B258" s="3">
        <v>3.3530700000000002</v>
      </c>
      <c r="C258" s="3">
        <f t="shared" si="8"/>
        <v>3.3530700000000002</v>
      </c>
      <c r="D258" s="3" t="e">
        <f t="shared" si="9"/>
        <v>#N/A</v>
      </c>
      <c r="E258" s="5" cm="1">
        <f t="array" ref="E258">$E$4+(ROW(253:253)-1)*(($F$4-$E$4)/(COUNT($A$6:$A$446)-1))</f>
        <v>2005.4211818181818</v>
      </c>
      <c r="F258" s="5">
        <v>0</v>
      </c>
      <c r="G258" s="3">
        <v>0</v>
      </c>
      <c r="H258" s="3">
        <v>0</v>
      </c>
    </row>
    <row r="259" spans="1:8" x14ac:dyDescent="0.3">
      <c r="A259" s="3">
        <v>2004.19</v>
      </c>
      <c r="B259" s="3">
        <v>3.3810899999999999</v>
      </c>
      <c r="C259" s="3">
        <f t="shared" si="8"/>
        <v>3.3810899999999999</v>
      </c>
      <c r="D259" s="3" t="e">
        <f t="shared" si="9"/>
        <v>#N/A</v>
      </c>
      <c r="E259" s="5" cm="1">
        <f t="array" ref="E259">$E$4+(ROW(254:254)-1)*(($F$4-$E$4)/(COUNT($A$6:$A$446)-1))</f>
        <v>2005.4982500000001</v>
      </c>
      <c r="F259" s="5">
        <v>0</v>
      </c>
      <c r="G259" s="3">
        <v>0</v>
      </c>
      <c r="H259" s="3">
        <v>0</v>
      </c>
    </row>
    <row r="260" spans="1:8" x14ac:dyDescent="0.3">
      <c r="A260" s="3">
        <v>2004.42</v>
      </c>
      <c r="B260" s="3">
        <v>2.92178</v>
      </c>
      <c r="C260" s="3">
        <f t="shared" si="8"/>
        <v>2.92178</v>
      </c>
      <c r="D260" s="3" t="e">
        <f t="shared" si="9"/>
        <v>#N/A</v>
      </c>
      <c r="E260" s="5" cm="1">
        <f t="array" ref="E260">$E$4+(ROW(255:255)-1)*(($F$4-$E$4)/(COUNT($A$6:$A$446)-1))</f>
        <v>2005.5753181818181</v>
      </c>
      <c r="F260" s="5">
        <v>0</v>
      </c>
      <c r="G260" s="3">
        <v>0</v>
      </c>
      <c r="H260" s="3">
        <v>0</v>
      </c>
    </row>
    <row r="261" spans="1:8" x14ac:dyDescent="0.3">
      <c r="A261" s="3">
        <v>2004.45</v>
      </c>
      <c r="B261" s="3">
        <v>3.4505400000000002</v>
      </c>
      <c r="C261" s="3">
        <f t="shared" si="8"/>
        <v>3.4505400000000002</v>
      </c>
      <c r="D261" s="3" t="e">
        <f t="shared" si="9"/>
        <v>#N/A</v>
      </c>
      <c r="E261" s="5" cm="1">
        <f t="array" ref="E261">$E$4+(ROW(256:256)-1)*(($F$4-$E$4)/(COUNT($A$6:$A$446)-1))</f>
        <v>2005.6523863636364</v>
      </c>
      <c r="F261" s="5">
        <v>0</v>
      </c>
      <c r="G261" s="3">
        <v>0</v>
      </c>
      <c r="H261" s="3">
        <v>0</v>
      </c>
    </row>
    <row r="262" spans="1:8" x14ac:dyDescent="0.3">
      <c r="A262" s="3">
        <v>2004.57</v>
      </c>
      <c r="B262" s="3">
        <v>2.8182299999999998</v>
      </c>
      <c r="C262" s="3">
        <f t="shared" si="8"/>
        <v>2.8182299999999998</v>
      </c>
      <c r="D262" s="3" t="e">
        <f t="shared" si="9"/>
        <v>#N/A</v>
      </c>
      <c r="E262" s="5" cm="1">
        <f t="array" ref="E262">$E$4+(ROW(257:257)-1)*(($F$4-$E$4)/(COUNT($A$6:$A$446)-1))</f>
        <v>2005.7294545454547</v>
      </c>
      <c r="F262" s="5">
        <v>0</v>
      </c>
      <c r="G262" s="3">
        <v>0</v>
      </c>
      <c r="H262" s="3">
        <v>0</v>
      </c>
    </row>
    <row r="263" spans="1:8" x14ac:dyDescent="0.3">
      <c r="A263" s="3">
        <v>2004.64</v>
      </c>
      <c r="B263" s="3">
        <v>2.9047299999999998</v>
      </c>
      <c r="C263" s="3">
        <f t="shared" ref="C263:C326" si="10">IF(B263&gt;=$C$4,B263,$D$4)</f>
        <v>2.9047299999999998</v>
      </c>
      <c r="D263" s="3" t="e">
        <f t="shared" ref="D263:D326" si="11">IF(B263&lt;=$C$4,B263,$D$4)</f>
        <v>#N/A</v>
      </c>
      <c r="E263" s="5" cm="1">
        <f t="array" ref="E263">$E$4+(ROW(258:258)-1)*(($F$4-$E$4)/(COUNT($A$6:$A$446)-1))</f>
        <v>2005.8065227272727</v>
      </c>
      <c r="F263" s="5">
        <v>0</v>
      </c>
      <c r="G263" s="3">
        <v>0</v>
      </c>
      <c r="H263" s="3">
        <v>0</v>
      </c>
    </row>
    <row r="264" spans="1:8" x14ac:dyDescent="0.3">
      <c r="A264" s="3">
        <v>2004.65</v>
      </c>
      <c r="B264" s="3">
        <v>3.7916699999999999</v>
      </c>
      <c r="C264" s="3">
        <f t="shared" si="10"/>
        <v>3.7916699999999999</v>
      </c>
      <c r="D264" s="3" t="e">
        <f t="shared" si="11"/>
        <v>#N/A</v>
      </c>
      <c r="E264" s="5" cm="1">
        <f t="array" ref="E264">$E$4+(ROW(259:259)-1)*(($F$4-$E$4)/(COUNT($A$6:$A$446)-1))</f>
        <v>2005.883590909091</v>
      </c>
      <c r="F264" s="5">
        <v>0</v>
      </c>
      <c r="G264" s="3">
        <v>0</v>
      </c>
      <c r="H264" s="3">
        <v>0</v>
      </c>
    </row>
    <row r="265" spans="1:8" x14ac:dyDescent="0.3">
      <c r="A265" s="3">
        <v>2004.65</v>
      </c>
      <c r="B265" s="3">
        <v>3.5285099999999998</v>
      </c>
      <c r="C265" s="3">
        <f t="shared" si="10"/>
        <v>3.5285099999999998</v>
      </c>
      <c r="D265" s="3" t="e">
        <f t="shared" si="11"/>
        <v>#N/A</v>
      </c>
      <c r="E265" s="5" cm="1">
        <f t="array" ref="E265">$E$4+(ROW(260:260)-1)*(($F$4-$E$4)/(COUNT($A$6:$A$446)-1))</f>
        <v>2005.9606590909091</v>
      </c>
      <c r="F265" s="5">
        <v>0</v>
      </c>
      <c r="G265" s="3">
        <v>0</v>
      </c>
      <c r="H265" s="3">
        <v>0</v>
      </c>
    </row>
    <row r="266" spans="1:8" x14ac:dyDescent="0.3">
      <c r="A266" s="3">
        <v>2004.66</v>
      </c>
      <c r="B266" s="3">
        <v>3.6162299999999998</v>
      </c>
      <c r="C266" s="3">
        <f t="shared" si="10"/>
        <v>3.6162299999999998</v>
      </c>
      <c r="D266" s="3" t="e">
        <f t="shared" si="11"/>
        <v>#N/A</v>
      </c>
      <c r="E266" s="5" cm="1">
        <f t="array" ref="E266">$E$4+(ROW(261:261)-1)*(($F$4-$E$4)/(COUNT($A$6:$A$446)-1))</f>
        <v>2006.0377272727274</v>
      </c>
      <c r="F266" s="5">
        <v>0</v>
      </c>
      <c r="G266" s="3">
        <v>0</v>
      </c>
      <c r="H266" s="3">
        <v>0</v>
      </c>
    </row>
    <row r="267" spans="1:8" x14ac:dyDescent="0.3">
      <c r="A267" s="3">
        <v>2004.66</v>
      </c>
      <c r="B267" s="3">
        <v>3.7039499999999999</v>
      </c>
      <c r="C267" s="3">
        <f t="shared" si="10"/>
        <v>3.7039499999999999</v>
      </c>
      <c r="D267" s="3" t="e">
        <f t="shared" si="11"/>
        <v>#N/A</v>
      </c>
      <c r="E267" s="5" cm="1">
        <f t="array" ref="E267">$E$4+(ROW(262:262)-1)*(($F$4-$E$4)/(COUNT($A$6:$A$446)-1))</f>
        <v>2006.1147954545454</v>
      </c>
      <c r="F267" s="5">
        <v>0</v>
      </c>
      <c r="G267" s="3">
        <v>0</v>
      </c>
      <c r="H267" s="3">
        <v>0</v>
      </c>
    </row>
    <row r="268" spans="1:8" x14ac:dyDescent="0.3">
      <c r="A268" s="3">
        <v>2004.72</v>
      </c>
      <c r="B268" s="3">
        <v>2.7414700000000001</v>
      </c>
      <c r="C268" s="3">
        <f t="shared" si="10"/>
        <v>2.7414700000000001</v>
      </c>
      <c r="D268" s="3" t="e">
        <f t="shared" si="11"/>
        <v>#N/A</v>
      </c>
      <c r="E268" s="5" cm="1">
        <f t="array" ref="E268">$E$4+(ROW(263:263)-1)*(($F$4-$E$4)/(COUNT($A$6:$A$446)-1))</f>
        <v>2006.1918636363637</v>
      </c>
      <c r="F268" s="5">
        <v>0</v>
      </c>
      <c r="G268" s="3">
        <v>0</v>
      </c>
      <c r="H268" s="3">
        <v>0</v>
      </c>
    </row>
    <row r="269" spans="1:8" x14ac:dyDescent="0.3">
      <c r="A269" s="3">
        <v>2004.83</v>
      </c>
      <c r="B269" s="3">
        <v>2.9144700000000001</v>
      </c>
      <c r="C269" s="3">
        <f t="shared" si="10"/>
        <v>2.9144700000000001</v>
      </c>
      <c r="D269" s="3" t="e">
        <f t="shared" si="11"/>
        <v>#N/A</v>
      </c>
      <c r="E269" s="5" cm="1">
        <f t="array" ref="E269">$E$4+(ROW(264:264)-1)*(($F$4-$E$4)/(COUNT($A$6:$A$446)-1))</f>
        <v>2006.268931818182</v>
      </c>
      <c r="F269" s="5">
        <v>0</v>
      </c>
      <c r="G269" s="3">
        <v>0</v>
      </c>
      <c r="H269" s="3">
        <v>0</v>
      </c>
    </row>
    <row r="270" spans="1:8" x14ac:dyDescent="0.3">
      <c r="A270" s="3">
        <v>2004.87</v>
      </c>
      <c r="B270" s="3">
        <v>2.66228</v>
      </c>
      <c r="C270" s="3">
        <f t="shared" si="10"/>
        <v>2.66228</v>
      </c>
      <c r="D270" s="3" t="e">
        <f t="shared" si="11"/>
        <v>#N/A</v>
      </c>
      <c r="E270" s="5" cm="1">
        <f t="array" ref="E270">$E$4+(ROW(265:265)-1)*(($F$4-$E$4)/(COUNT($A$6:$A$446)-1))</f>
        <v>2006.346</v>
      </c>
      <c r="F270" s="5">
        <v>0</v>
      </c>
      <c r="G270" s="3">
        <v>0</v>
      </c>
      <c r="H270" s="3">
        <v>0</v>
      </c>
    </row>
    <row r="271" spans="1:8" x14ac:dyDescent="0.3">
      <c r="A271" s="3">
        <v>2004.88</v>
      </c>
      <c r="B271" s="3">
        <v>2.57456</v>
      </c>
      <c r="C271" s="3">
        <f t="shared" si="10"/>
        <v>2.57456</v>
      </c>
      <c r="D271" s="3" t="e">
        <f t="shared" si="11"/>
        <v>#N/A</v>
      </c>
      <c r="E271" s="5" cm="1">
        <f t="array" ref="E271">$E$4+(ROW(266:266)-1)*(($F$4-$E$4)/(COUNT($A$6:$A$446)-1))</f>
        <v>2006.4230681818183</v>
      </c>
      <c r="F271" s="5">
        <v>0</v>
      </c>
      <c r="G271" s="3">
        <v>0</v>
      </c>
      <c r="H271" s="3">
        <v>0</v>
      </c>
    </row>
    <row r="272" spans="1:8" x14ac:dyDescent="0.3">
      <c r="A272" s="3">
        <v>2004.94</v>
      </c>
      <c r="B272" s="3">
        <v>2.4880599999999999</v>
      </c>
      <c r="C272" s="3">
        <f t="shared" si="10"/>
        <v>2.4880599999999999</v>
      </c>
      <c r="D272" s="3" t="e">
        <f t="shared" si="11"/>
        <v>#N/A</v>
      </c>
      <c r="E272" s="5" cm="1">
        <f t="array" ref="E272">$E$4+(ROW(267:267)-1)*(($F$4-$E$4)/(COUNT($A$6:$A$446)-1))</f>
        <v>2006.5001363636363</v>
      </c>
      <c r="F272" s="5">
        <v>0</v>
      </c>
      <c r="G272" s="3">
        <v>0</v>
      </c>
      <c r="H272" s="3">
        <v>0</v>
      </c>
    </row>
    <row r="273" spans="1:8" x14ac:dyDescent="0.3">
      <c r="A273" s="3">
        <v>2004.96</v>
      </c>
      <c r="B273" s="3">
        <v>2.4003399999999999</v>
      </c>
      <c r="C273" s="3">
        <f t="shared" si="10"/>
        <v>2.4003399999999999</v>
      </c>
      <c r="D273" s="3" t="e">
        <f t="shared" si="11"/>
        <v>#N/A</v>
      </c>
      <c r="E273" s="5" cm="1">
        <f t="array" ref="E273">$E$4+(ROW(268:268)-1)*(($F$4-$E$4)/(COUNT($A$6:$A$446)-1))</f>
        <v>2006.5772045454546</v>
      </c>
      <c r="F273" s="5">
        <v>0</v>
      </c>
      <c r="G273" s="3">
        <v>0</v>
      </c>
      <c r="H273" s="3">
        <v>0</v>
      </c>
    </row>
    <row r="274" spans="1:8" x14ac:dyDescent="0.3">
      <c r="A274" s="3">
        <v>2004.98</v>
      </c>
      <c r="B274" s="3">
        <v>2.3126199999999999</v>
      </c>
      <c r="C274" s="3">
        <f t="shared" si="10"/>
        <v>2.3126199999999999</v>
      </c>
      <c r="D274" s="3" t="e">
        <f t="shared" si="11"/>
        <v>#N/A</v>
      </c>
      <c r="E274" s="5" cm="1">
        <f t="array" ref="E274">$E$4+(ROW(269:269)-1)*(($F$4-$E$4)/(COUNT($A$6:$A$446)-1))</f>
        <v>2006.6542727272729</v>
      </c>
      <c r="F274" s="5">
        <v>0</v>
      </c>
      <c r="G274" s="3">
        <v>0</v>
      </c>
      <c r="H274" s="3">
        <v>0</v>
      </c>
    </row>
    <row r="275" spans="1:8" x14ac:dyDescent="0.3">
      <c r="A275" s="3">
        <v>2005.02</v>
      </c>
      <c r="B275" s="3">
        <v>2.2248999999999999</v>
      </c>
      <c r="C275" s="3">
        <f t="shared" si="10"/>
        <v>2.2248999999999999</v>
      </c>
      <c r="D275" s="3" t="e">
        <f t="shared" si="11"/>
        <v>#N/A</v>
      </c>
      <c r="E275" s="5" cm="1">
        <f t="array" ref="E275">$E$4+(ROW(270:270)-1)*(($F$4-$E$4)/(COUNT($A$6:$A$446)-1))</f>
        <v>2006.7313409090909</v>
      </c>
      <c r="F275" s="5">
        <v>0</v>
      </c>
      <c r="G275" s="3">
        <v>0</v>
      </c>
      <c r="H275" s="3">
        <v>0</v>
      </c>
    </row>
    <row r="276" spans="1:8" x14ac:dyDescent="0.3">
      <c r="A276" s="3">
        <v>2005.08</v>
      </c>
      <c r="B276" s="3">
        <v>2.1383999999999999</v>
      </c>
      <c r="C276" s="3">
        <f t="shared" si="10"/>
        <v>2.1383999999999999</v>
      </c>
      <c r="D276" s="3" t="e">
        <f t="shared" si="11"/>
        <v>#N/A</v>
      </c>
      <c r="E276" s="5" cm="1">
        <f t="array" ref="E276">$E$4+(ROW(271:271)-1)*(($F$4-$E$4)/(COUNT($A$6:$A$446)-1))</f>
        <v>2006.8084090909092</v>
      </c>
      <c r="F276" s="5">
        <v>0</v>
      </c>
      <c r="G276" s="3">
        <v>0</v>
      </c>
      <c r="H276" s="3">
        <v>0</v>
      </c>
    </row>
    <row r="277" spans="1:8" x14ac:dyDescent="0.3">
      <c r="A277" s="3">
        <v>2005.13</v>
      </c>
      <c r="B277" s="3">
        <v>2.0518999999999998</v>
      </c>
      <c r="C277" s="3">
        <f t="shared" si="10"/>
        <v>2.0518999999999998</v>
      </c>
      <c r="D277" s="3" t="e">
        <f t="shared" si="11"/>
        <v>#N/A</v>
      </c>
      <c r="E277" s="5" cm="1">
        <f t="array" ref="E277">$E$4+(ROW(272:272)-1)*(($F$4-$E$4)/(COUNT($A$6:$A$446)-1))</f>
        <v>2006.8854772727273</v>
      </c>
      <c r="F277" s="5">
        <v>0</v>
      </c>
      <c r="G277" s="3">
        <v>0</v>
      </c>
      <c r="H277" s="3">
        <v>0</v>
      </c>
    </row>
    <row r="278" spans="1:8" x14ac:dyDescent="0.3">
      <c r="A278" s="3">
        <v>2005.16</v>
      </c>
      <c r="B278" s="3">
        <v>1.96418</v>
      </c>
      <c r="C278" s="3">
        <f t="shared" si="10"/>
        <v>1.96418</v>
      </c>
      <c r="D278" s="3" t="e">
        <f t="shared" si="11"/>
        <v>#N/A</v>
      </c>
      <c r="E278" s="5" cm="1">
        <f t="array" ref="E278">$E$4+(ROW(273:273)-1)*(($F$4-$E$4)/(COUNT($A$6:$A$446)-1))</f>
        <v>2006.9625454545455</v>
      </c>
      <c r="F278" s="5">
        <v>0</v>
      </c>
      <c r="G278" s="3">
        <v>0</v>
      </c>
      <c r="H278" s="3">
        <v>0</v>
      </c>
    </row>
    <row r="279" spans="1:8" x14ac:dyDescent="0.3">
      <c r="A279" s="3">
        <v>2005.22</v>
      </c>
      <c r="B279" s="3">
        <v>1.87768</v>
      </c>
      <c r="C279" s="3">
        <f t="shared" si="10"/>
        <v>1.87768</v>
      </c>
      <c r="D279" s="3" t="e">
        <f t="shared" si="11"/>
        <v>#N/A</v>
      </c>
      <c r="E279" s="5" cm="1">
        <f t="array" ref="E279">$E$4+(ROW(274:274)-1)*(($F$4-$E$4)/(COUNT($A$6:$A$446)-1))</f>
        <v>2007.0396136363636</v>
      </c>
      <c r="F279" s="5">
        <v>0</v>
      </c>
      <c r="G279" s="3">
        <v>0</v>
      </c>
      <c r="H279" s="3">
        <v>0</v>
      </c>
    </row>
    <row r="280" spans="1:8" x14ac:dyDescent="0.3">
      <c r="A280" s="3">
        <v>2005.29</v>
      </c>
      <c r="B280" s="3">
        <v>1.7924</v>
      </c>
      <c r="C280" s="3">
        <f t="shared" si="10"/>
        <v>1.7924</v>
      </c>
      <c r="D280" s="3" t="e">
        <f t="shared" si="11"/>
        <v>#N/A</v>
      </c>
      <c r="E280" s="5" cm="1">
        <f t="array" ref="E280">$E$4+(ROW(275:275)-1)*(($F$4-$E$4)/(COUNT($A$6:$A$446)-1))</f>
        <v>2007.1166818181819</v>
      </c>
      <c r="F280" s="5">
        <v>0</v>
      </c>
      <c r="G280" s="3">
        <v>0</v>
      </c>
      <c r="H280" s="3">
        <v>0</v>
      </c>
    </row>
    <row r="281" spans="1:8" x14ac:dyDescent="0.3">
      <c r="A281" s="3">
        <v>2005.33</v>
      </c>
      <c r="B281" s="3">
        <v>1.70712</v>
      </c>
      <c r="C281" s="3">
        <f t="shared" si="10"/>
        <v>1.70712</v>
      </c>
      <c r="D281" s="3" t="e">
        <f t="shared" si="11"/>
        <v>#N/A</v>
      </c>
      <c r="E281" s="5" cm="1">
        <f t="array" ref="E281">$E$4+(ROW(276:276)-1)*(($F$4-$E$4)/(COUNT($A$6:$A$446)-1))</f>
        <v>2007.1937500000001</v>
      </c>
      <c r="F281" s="5">
        <v>0</v>
      </c>
      <c r="G281" s="3">
        <v>0</v>
      </c>
      <c r="H281" s="3">
        <v>0</v>
      </c>
    </row>
    <row r="282" spans="1:8" x14ac:dyDescent="0.3">
      <c r="A282" s="3">
        <v>2005.36</v>
      </c>
      <c r="B282" s="3">
        <v>1.6194</v>
      </c>
      <c r="C282" s="3">
        <f t="shared" si="10"/>
        <v>1.6194</v>
      </c>
      <c r="D282" s="3" t="e">
        <f t="shared" si="11"/>
        <v>#N/A</v>
      </c>
      <c r="E282" s="5" cm="1">
        <f t="array" ref="E282">$E$4+(ROW(277:277)-1)*(($F$4-$E$4)/(COUNT($A$6:$A$446)-1))</f>
        <v>2007.2708181818182</v>
      </c>
      <c r="F282" s="5">
        <v>0</v>
      </c>
      <c r="G282" s="3">
        <v>0</v>
      </c>
      <c r="H282" s="3">
        <v>0</v>
      </c>
    </row>
    <row r="283" spans="1:8" x14ac:dyDescent="0.3">
      <c r="A283" s="3">
        <v>2005.4</v>
      </c>
      <c r="B283" s="3">
        <v>1.5328900000000001</v>
      </c>
      <c r="C283" s="3">
        <f t="shared" si="10"/>
        <v>1.5328900000000001</v>
      </c>
      <c r="D283" s="3" t="e">
        <f t="shared" si="11"/>
        <v>#N/A</v>
      </c>
      <c r="E283" s="5" cm="1">
        <f t="array" ref="E283">$E$4+(ROW(278:278)-1)*(($F$4-$E$4)/(COUNT($A$6:$A$446)-1))</f>
        <v>2007.3478863636365</v>
      </c>
      <c r="F283" s="5">
        <v>0</v>
      </c>
      <c r="G283" s="3">
        <v>0</v>
      </c>
      <c r="H283" s="3">
        <v>0</v>
      </c>
    </row>
    <row r="284" spans="1:8" x14ac:dyDescent="0.3">
      <c r="A284" s="3">
        <v>2005.44</v>
      </c>
      <c r="B284" s="3">
        <v>1.4463900000000001</v>
      </c>
      <c r="C284" s="3">
        <f t="shared" si="10"/>
        <v>1.4463900000000001</v>
      </c>
      <c r="D284" s="3" t="e">
        <f t="shared" si="11"/>
        <v>#N/A</v>
      </c>
      <c r="E284" s="5" cm="1">
        <f t="array" ref="E284">$E$4+(ROW(279:279)-1)*(($F$4-$E$4)/(COUNT($A$6:$A$446)-1))</f>
        <v>2007.4249545454545</v>
      </c>
      <c r="F284" s="5">
        <v>0</v>
      </c>
      <c r="G284" s="3">
        <v>0</v>
      </c>
      <c r="H284" s="3">
        <v>0</v>
      </c>
    </row>
    <row r="285" spans="1:8" x14ac:dyDescent="0.3">
      <c r="A285" s="3">
        <v>2005.48</v>
      </c>
      <c r="B285" s="3">
        <v>1.35867</v>
      </c>
      <c r="C285" s="3">
        <f t="shared" si="10"/>
        <v>1.35867</v>
      </c>
      <c r="D285" s="3" t="e">
        <f t="shared" si="11"/>
        <v>#N/A</v>
      </c>
      <c r="E285" s="5" cm="1">
        <f t="array" ref="E285">$E$4+(ROW(280:280)-1)*(($F$4-$E$4)/(COUNT($A$6:$A$446)-1))</f>
        <v>2007.5020227272728</v>
      </c>
      <c r="F285" s="5">
        <v>0</v>
      </c>
      <c r="G285" s="3">
        <v>0</v>
      </c>
      <c r="H285" s="3">
        <v>0</v>
      </c>
    </row>
    <row r="286" spans="1:8" x14ac:dyDescent="0.3">
      <c r="A286" s="3">
        <v>2005.5</v>
      </c>
      <c r="B286" s="3">
        <v>1.2709600000000001</v>
      </c>
      <c r="C286" s="3">
        <f t="shared" si="10"/>
        <v>1.2709600000000001</v>
      </c>
      <c r="D286" s="3" t="e">
        <f t="shared" si="11"/>
        <v>#N/A</v>
      </c>
      <c r="E286" s="5" cm="1">
        <f t="array" ref="E286">$E$4+(ROW(281:281)-1)*(($F$4-$E$4)/(COUNT($A$6:$A$446)-1))</f>
        <v>2007.5790909090911</v>
      </c>
      <c r="F286" s="5">
        <v>0</v>
      </c>
      <c r="G286" s="3">
        <v>0</v>
      </c>
      <c r="H286" s="3">
        <v>0</v>
      </c>
    </row>
    <row r="287" spans="1:8" x14ac:dyDescent="0.3">
      <c r="A287" s="3">
        <v>2005.52</v>
      </c>
      <c r="B287" s="3">
        <v>1.1832400000000001</v>
      </c>
      <c r="C287" s="3">
        <f t="shared" si="10"/>
        <v>1.1832400000000001</v>
      </c>
      <c r="D287" s="3" t="e">
        <f t="shared" si="11"/>
        <v>#N/A</v>
      </c>
      <c r="E287" s="5" cm="1">
        <f t="array" ref="E287">$E$4+(ROW(282:282)-1)*(($F$4-$E$4)/(COUNT($A$6:$A$446)-1))</f>
        <v>2007.6561590909091</v>
      </c>
      <c r="F287" s="5">
        <v>0</v>
      </c>
      <c r="G287" s="3">
        <v>0</v>
      </c>
      <c r="H287" s="3">
        <v>0</v>
      </c>
    </row>
    <row r="288" spans="1:8" x14ac:dyDescent="0.3">
      <c r="A288" s="3">
        <v>2005.55</v>
      </c>
      <c r="B288" s="3">
        <v>1.09673</v>
      </c>
      <c r="C288" s="3">
        <f t="shared" si="10"/>
        <v>1.09673</v>
      </c>
      <c r="D288" s="3" t="e">
        <f t="shared" si="11"/>
        <v>#N/A</v>
      </c>
      <c r="E288" s="5" cm="1">
        <f t="array" ref="E288">$E$4+(ROW(283:283)-1)*(($F$4-$E$4)/(COUNT($A$6:$A$446)-1))</f>
        <v>2007.7332272727274</v>
      </c>
      <c r="F288" s="5">
        <v>0</v>
      </c>
      <c r="G288" s="3">
        <v>0</v>
      </c>
      <c r="H288" s="3">
        <v>0</v>
      </c>
    </row>
    <row r="289" spans="1:8" x14ac:dyDescent="0.3">
      <c r="A289" s="3">
        <v>2005.57</v>
      </c>
      <c r="B289" s="3">
        <v>1.00902</v>
      </c>
      <c r="C289" s="3">
        <f t="shared" si="10"/>
        <v>1.00902</v>
      </c>
      <c r="D289" s="3" t="e">
        <f t="shared" si="11"/>
        <v>#N/A</v>
      </c>
      <c r="E289" s="5" cm="1">
        <f t="array" ref="E289">$E$4+(ROW(284:284)-1)*(($F$4-$E$4)/(COUNT($A$6:$A$446)-1))</f>
        <v>2007.8102954545454</v>
      </c>
      <c r="F289" s="5">
        <v>0</v>
      </c>
      <c r="G289" s="3">
        <v>0</v>
      </c>
      <c r="H289" s="3">
        <v>0</v>
      </c>
    </row>
    <row r="290" spans="1:8" x14ac:dyDescent="0.3">
      <c r="A290" s="3">
        <v>2005.62</v>
      </c>
      <c r="B290" s="3">
        <v>0.92251499999999997</v>
      </c>
      <c r="C290" s="3">
        <f t="shared" si="10"/>
        <v>0.92251499999999997</v>
      </c>
      <c r="D290" s="3" t="e">
        <f t="shared" si="11"/>
        <v>#N/A</v>
      </c>
      <c r="E290" s="5" cm="1">
        <f t="array" ref="E290">$E$4+(ROW(285:285)-1)*(($F$4-$E$4)/(COUNT($A$6:$A$446)-1))</f>
        <v>2007.8873636363637</v>
      </c>
      <c r="F290" s="5">
        <v>0</v>
      </c>
      <c r="G290" s="3">
        <v>0</v>
      </c>
      <c r="H290" s="3">
        <v>0</v>
      </c>
    </row>
    <row r="291" spans="1:8" x14ac:dyDescent="0.3">
      <c r="A291" s="3">
        <v>2005.69</v>
      </c>
      <c r="B291" s="3">
        <v>0.83723199999999998</v>
      </c>
      <c r="C291" s="3">
        <f t="shared" si="10"/>
        <v>0.83723199999999998</v>
      </c>
      <c r="D291" s="3" t="e">
        <f t="shared" si="11"/>
        <v>#N/A</v>
      </c>
      <c r="E291" s="5" cm="1">
        <f t="array" ref="E291">$E$4+(ROW(286:286)-1)*(($F$4-$E$4)/(COUNT($A$6:$A$446)-1))</f>
        <v>2007.9644318181818</v>
      </c>
      <c r="F291" s="5">
        <v>0</v>
      </c>
      <c r="G291" s="3">
        <v>0</v>
      </c>
      <c r="H291" s="3">
        <v>0</v>
      </c>
    </row>
    <row r="292" spans="1:8" x14ac:dyDescent="0.3">
      <c r="A292" s="3">
        <v>2005.78</v>
      </c>
      <c r="B292" s="3">
        <v>0.75194899999999998</v>
      </c>
      <c r="C292" s="3">
        <f t="shared" si="10"/>
        <v>0.75194899999999998</v>
      </c>
      <c r="D292" s="3" t="e">
        <f t="shared" si="11"/>
        <v>#N/A</v>
      </c>
      <c r="E292" s="5" cm="1">
        <f t="array" ref="E292">$E$4+(ROW(287:287)-1)*(($F$4-$E$4)/(COUNT($A$6:$A$446)-1))</f>
        <v>2008.0415</v>
      </c>
      <c r="F292" s="5">
        <v>0</v>
      </c>
      <c r="G292" s="3">
        <v>0</v>
      </c>
      <c r="H292" s="3">
        <v>0</v>
      </c>
    </row>
    <row r="293" spans="1:8" x14ac:dyDescent="0.3">
      <c r="A293" s="3">
        <v>2005.86</v>
      </c>
      <c r="B293" s="3">
        <v>0.66544800000000004</v>
      </c>
      <c r="C293" s="3">
        <f t="shared" si="10"/>
        <v>0.66544800000000004</v>
      </c>
      <c r="D293" s="3" t="e">
        <f t="shared" si="11"/>
        <v>#N/A</v>
      </c>
      <c r="E293" s="5" cm="1">
        <f t="array" ref="E293">$E$4+(ROW(288:288)-1)*(($F$4-$E$4)/(COUNT($A$6:$A$446)-1))</f>
        <v>2008.1185681818183</v>
      </c>
      <c r="F293" s="5">
        <v>0</v>
      </c>
      <c r="G293" s="3">
        <v>0</v>
      </c>
      <c r="H293" s="3">
        <v>0</v>
      </c>
    </row>
    <row r="294" spans="1:8" x14ac:dyDescent="0.3">
      <c r="A294" s="3">
        <v>2005.91</v>
      </c>
      <c r="B294" s="3">
        <v>0.57894699999999999</v>
      </c>
      <c r="C294" s="3">
        <f t="shared" si="10"/>
        <v>0.57894699999999999</v>
      </c>
      <c r="D294" s="3" t="e">
        <f t="shared" si="11"/>
        <v>#N/A</v>
      </c>
      <c r="E294" s="5" cm="1">
        <f t="array" ref="E294">$E$4+(ROW(289:289)-1)*(($F$4-$E$4)/(COUNT($A$6:$A$446)-1))</f>
        <v>2008.1956363636364</v>
      </c>
      <c r="F294" s="5">
        <v>0</v>
      </c>
      <c r="G294" s="3">
        <v>0</v>
      </c>
      <c r="H294" s="3">
        <v>0</v>
      </c>
    </row>
    <row r="295" spans="1:8" x14ac:dyDescent="0.3">
      <c r="A295" s="3">
        <v>2005.98</v>
      </c>
      <c r="B295" s="3">
        <v>8.2845999999999996E-3</v>
      </c>
      <c r="C295" s="3">
        <f t="shared" si="10"/>
        <v>8.2845999999999996E-3</v>
      </c>
      <c r="D295" s="3" t="e">
        <f t="shared" si="11"/>
        <v>#N/A</v>
      </c>
      <c r="E295" s="5" cm="1">
        <f t="array" ref="E295">$E$4+(ROW(290:290)-1)*(($F$4-$E$4)/(COUNT($A$6:$A$446)-1))</f>
        <v>2008.2727045454546</v>
      </c>
      <c r="F295" s="5">
        <v>0</v>
      </c>
      <c r="G295" s="3">
        <v>0</v>
      </c>
      <c r="H295" s="3">
        <v>0</v>
      </c>
    </row>
    <row r="296" spans="1:8" x14ac:dyDescent="0.3">
      <c r="A296" s="3">
        <v>2005.99</v>
      </c>
      <c r="B296" s="3">
        <v>0.49244599999999999</v>
      </c>
      <c r="C296" s="3">
        <f t="shared" si="10"/>
        <v>0.49244599999999999</v>
      </c>
      <c r="D296" s="3" t="e">
        <f t="shared" si="11"/>
        <v>#N/A</v>
      </c>
      <c r="E296" s="5" cm="1">
        <f t="array" ref="E296">$E$4+(ROW(291:291)-1)*(($F$4-$E$4)/(COUNT($A$6:$A$446)-1))</f>
        <v>2008.3497727272727</v>
      </c>
      <c r="F296" s="5">
        <v>0</v>
      </c>
      <c r="G296" s="3">
        <v>0</v>
      </c>
      <c r="H296" s="3">
        <v>0</v>
      </c>
    </row>
    <row r="297" spans="1:8" x14ac:dyDescent="0.3">
      <c r="A297" s="3">
        <v>2006.1</v>
      </c>
      <c r="B297" s="3">
        <v>0.40838200000000002</v>
      </c>
      <c r="C297" s="3">
        <f t="shared" si="10"/>
        <v>0.40838200000000002</v>
      </c>
      <c r="D297" s="3" t="e">
        <f t="shared" si="11"/>
        <v>#N/A</v>
      </c>
      <c r="E297" s="5" cm="1">
        <f t="array" ref="E297">$E$4+(ROW(292:292)-1)*(($F$4-$E$4)/(COUNT($A$6:$A$446)-1))</f>
        <v>2008.426840909091</v>
      </c>
      <c r="F297" s="5">
        <v>0</v>
      </c>
      <c r="G297" s="3">
        <v>0</v>
      </c>
      <c r="H297" s="3">
        <v>0</v>
      </c>
    </row>
    <row r="298" spans="1:8" x14ac:dyDescent="0.3">
      <c r="A298" s="3">
        <v>2006.12</v>
      </c>
      <c r="B298" s="3">
        <v>1.1208600000000001E-2</v>
      </c>
      <c r="C298" s="3">
        <f t="shared" si="10"/>
        <v>1.1208600000000001E-2</v>
      </c>
      <c r="D298" s="3" t="e">
        <f t="shared" si="11"/>
        <v>#N/A</v>
      </c>
      <c r="E298" s="5" cm="1">
        <f t="array" ref="E298">$E$4+(ROW(293:293)-1)*(($F$4-$E$4)/(COUNT($A$6:$A$446)-1))</f>
        <v>2008.5039090909092</v>
      </c>
      <c r="F298" s="5">
        <v>0</v>
      </c>
      <c r="G298" s="3">
        <v>0</v>
      </c>
      <c r="H298" s="3">
        <v>0</v>
      </c>
    </row>
    <row r="299" spans="1:8" x14ac:dyDescent="0.3">
      <c r="A299" s="3">
        <v>2006.22</v>
      </c>
      <c r="B299" s="3">
        <v>0.32553599999999999</v>
      </c>
      <c r="C299" s="3">
        <f t="shared" si="10"/>
        <v>0.32553599999999999</v>
      </c>
      <c r="D299" s="3" t="e">
        <f t="shared" si="11"/>
        <v>#N/A</v>
      </c>
      <c r="E299" s="5" cm="1">
        <f t="array" ref="E299">$E$4+(ROW(294:294)-1)*(($F$4-$E$4)/(COUNT($A$6:$A$446)-1))</f>
        <v>2008.5809772727273</v>
      </c>
      <c r="F299" s="5">
        <v>0</v>
      </c>
      <c r="G299" s="3">
        <v>0</v>
      </c>
      <c r="H299" s="3">
        <v>0</v>
      </c>
    </row>
    <row r="300" spans="1:8" x14ac:dyDescent="0.3">
      <c r="A300" s="3">
        <v>2006.32</v>
      </c>
      <c r="B300" s="3">
        <v>0.24025299999999999</v>
      </c>
      <c r="C300" s="3">
        <f t="shared" si="10"/>
        <v>0.24025299999999999</v>
      </c>
      <c r="D300" s="3" t="e">
        <f t="shared" si="11"/>
        <v>#N/A</v>
      </c>
      <c r="E300" s="5" cm="1">
        <f t="array" ref="E300">$E$4+(ROW(295:295)-1)*(($F$4-$E$4)/(COUNT($A$6:$A$446)-1))</f>
        <v>2008.6580454545456</v>
      </c>
      <c r="F300" s="5">
        <v>0</v>
      </c>
      <c r="G300" s="3">
        <v>0</v>
      </c>
      <c r="H300" s="3">
        <v>0</v>
      </c>
    </row>
    <row r="301" spans="1:8" x14ac:dyDescent="0.3">
      <c r="A301" s="3">
        <v>2006.4</v>
      </c>
      <c r="B301" s="3">
        <v>8.2845999999999996E-3</v>
      </c>
      <c r="C301" s="3">
        <f t="shared" si="10"/>
        <v>8.2845999999999996E-3</v>
      </c>
      <c r="D301" s="3" t="e">
        <f t="shared" si="11"/>
        <v>#N/A</v>
      </c>
      <c r="E301" s="5" cm="1">
        <f t="array" ref="E301">$E$4+(ROW(296:296)-1)*(($F$4-$E$4)/(COUNT($A$6:$A$446)-1))</f>
        <v>2008.7351136363636</v>
      </c>
      <c r="F301" s="5">
        <v>0</v>
      </c>
      <c r="G301" s="3">
        <v>0</v>
      </c>
      <c r="H301" s="3">
        <v>0</v>
      </c>
    </row>
    <row r="302" spans="1:8" x14ac:dyDescent="0.3">
      <c r="A302" s="3">
        <v>2006.42</v>
      </c>
      <c r="B302" s="3">
        <v>7.0906399999999994E-2</v>
      </c>
      <c r="C302" s="3">
        <f t="shared" si="10"/>
        <v>7.0906399999999994E-2</v>
      </c>
      <c r="D302" s="3" t="e">
        <f t="shared" si="11"/>
        <v>#N/A</v>
      </c>
      <c r="E302" s="5" cm="1">
        <f t="array" ref="E302">$E$4+(ROW(297:297)-1)*(($F$4-$E$4)/(COUNT($A$6:$A$446)-1))</f>
        <v>2008.8121818181819</v>
      </c>
      <c r="F302" s="5">
        <v>0</v>
      </c>
      <c r="G302" s="3">
        <v>0</v>
      </c>
      <c r="H302" s="3">
        <v>0</v>
      </c>
    </row>
    <row r="303" spans="1:8" x14ac:dyDescent="0.3">
      <c r="A303" s="3">
        <v>2006.43</v>
      </c>
      <c r="B303" s="3">
        <v>0.152534</v>
      </c>
      <c r="C303" s="3">
        <f t="shared" si="10"/>
        <v>0.152534</v>
      </c>
      <c r="D303" s="3" t="e">
        <f t="shared" si="11"/>
        <v>#N/A</v>
      </c>
      <c r="E303" s="5" cm="1">
        <f t="array" ref="E303">$E$4+(ROW(298:298)-1)*(($F$4-$E$4)/(COUNT($A$6:$A$446)-1))</f>
        <v>2008.8892499999999</v>
      </c>
      <c r="F303" s="5">
        <v>0</v>
      </c>
      <c r="G303" s="3">
        <v>0</v>
      </c>
      <c r="H303" s="3">
        <v>0</v>
      </c>
    </row>
    <row r="304" spans="1:8" x14ac:dyDescent="0.3">
      <c r="A304" s="3">
        <v>2006.81</v>
      </c>
      <c r="B304" s="3">
        <v>-5.8479500000000002E-3</v>
      </c>
      <c r="C304" s="3" t="e">
        <f t="shared" si="10"/>
        <v>#N/A</v>
      </c>
      <c r="D304" s="3">
        <f t="shared" si="11"/>
        <v>-5.8479500000000002E-3</v>
      </c>
      <c r="E304" s="5" cm="1">
        <f t="array" ref="E304">$E$4+(ROW(299:299)-1)*(($F$4-$E$4)/(COUNT($A$6:$A$446)-1))</f>
        <v>2008.9663181818182</v>
      </c>
      <c r="F304" s="5">
        <v>0</v>
      </c>
      <c r="G304" s="3">
        <v>0</v>
      </c>
      <c r="H304" s="3">
        <v>0</v>
      </c>
    </row>
    <row r="305" spans="1:8" x14ac:dyDescent="0.3">
      <c r="A305" s="3">
        <v>2007.09</v>
      </c>
      <c r="B305" s="3">
        <v>-0.51998100000000003</v>
      </c>
      <c r="C305" s="3" t="e">
        <f t="shared" si="10"/>
        <v>#N/A</v>
      </c>
      <c r="D305" s="3">
        <f t="shared" si="11"/>
        <v>-0.51998100000000003</v>
      </c>
      <c r="E305" s="5" cm="1">
        <f t="array" ref="E305">$E$4+(ROW(300:300)-1)*(($F$4-$E$4)/(COUNT($A$6:$A$446)-1))</f>
        <v>2009.0433863636365</v>
      </c>
      <c r="F305" s="5">
        <v>0</v>
      </c>
      <c r="G305" s="3">
        <v>0</v>
      </c>
      <c r="H305" s="3">
        <v>0</v>
      </c>
    </row>
    <row r="306" spans="1:8" x14ac:dyDescent="0.3">
      <c r="A306" s="3">
        <v>2007.09</v>
      </c>
      <c r="B306" s="3">
        <v>-0.312865</v>
      </c>
      <c r="C306" s="3" t="e">
        <f t="shared" si="10"/>
        <v>#N/A</v>
      </c>
      <c r="D306" s="3">
        <f t="shared" si="11"/>
        <v>-0.312865</v>
      </c>
      <c r="E306" s="5" cm="1">
        <f t="array" ref="E306">$E$4+(ROW(301:301)-1)*(($F$4-$E$4)/(COUNT($A$6:$A$446)-1))</f>
        <v>2009.1204545454545</v>
      </c>
      <c r="F306" s="5">
        <v>0</v>
      </c>
      <c r="G306" s="3">
        <v>0</v>
      </c>
      <c r="H306" s="3">
        <v>0</v>
      </c>
    </row>
    <row r="307" spans="1:8" x14ac:dyDescent="0.3">
      <c r="A307" s="3">
        <v>2007.1</v>
      </c>
      <c r="B307" s="3">
        <v>-0.43226100000000001</v>
      </c>
      <c r="C307" s="3" t="e">
        <f t="shared" si="10"/>
        <v>#N/A</v>
      </c>
      <c r="D307" s="3">
        <f t="shared" si="11"/>
        <v>-0.43226100000000001</v>
      </c>
      <c r="E307" s="5" cm="1">
        <f t="array" ref="E307">$E$4+(ROW(302:302)-1)*(($F$4-$E$4)/(COUNT($A$6:$A$446)-1))</f>
        <v>2009.1975227272728</v>
      </c>
      <c r="F307" s="5">
        <v>0</v>
      </c>
      <c r="G307" s="3">
        <v>0</v>
      </c>
      <c r="H307" s="3">
        <v>0</v>
      </c>
    </row>
    <row r="308" spans="1:8" x14ac:dyDescent="0.3">
      <c r="A308" s="3">
        <v>2007.11</v>
      </c>
      <c r="B308" s="3">
        <v>-0.45540900000000001</v>
      </c>
      <c r="C308" s="3" t="e">
        <f t="shared" si="10"/>
        <v>#N/A</v>
      </c>
      <c r="D308" s="3">
        <f t="shared" si="11"/>
        <v>-0.45540900000000001</v>
      </c>
      <c r="E308" s="5" cm="1">
        <f t="array" ref="E308">$E$4+(ROW(303:303)-1)*(($F$4-$E$4)/(COUNT($A$6:$A$446)-1))</f>
        <v>2009.2745909090909</v>
      </c>
      <c r="F308" s="5">
        <v>0</v>
      </c>
      <c r="G308" s="3">
        <v>0</v>
      </c>
      <c r="H308" s="3">
        <v>0</v>
      </c>
    </row>
    <row r="309" spans="1:8" x14ac:dyDescent="0.3">
      <c r="A309" s="3">
        <v>2007.12</v>
      </c>
      <c r="B309" s="3">
        <v>-0.40058500000000002</v>
      </c>
      <c r="C309" s="3" t="e">
        <f t="shared" si="10"/>
        <v>#N/A</v>
      </c>
      <c r="D309" s="3">
        <f t="shared" si="11"/>
        <v>-0.40058500000000002</v>
      </c>
      <c r="E309" s="5" cm="1">
        <f t="array" ref="E309">$E$4+(ROW(304:304)-1)*(($F$4-$E$4)/(COUNT($A$6:$A$446)-1))</f>
        <v>2009.3516590909092</v>
      </c>
      <c r="F309" s="5">
        <v>0</v>
      </c>
      <c r="G309" s="3">
        <v>0</v>
      </c>
      <c r="H309" s="3">
        <v>0</v>
      </c>
    </row>
    <row r="310" spans="1:8" x14ac:dyDescent="0.3">
      <c r="A310" s="3">
        <v>2007.13</v>
      </c>
      <c r="B310" s="3">
        <v>-0.36769000000000002</v>
      </c>
      <c r="C310" s="3" t="e">
        <f t="shared" si="10"/>
        <v>#N/A</v>
      </c>
      <c r="D310" s="3">
        <f t="shared" si="11"/>
        <v>-0.36769000000000002</v>
      </c>
      <c r="E310" s="5" cm="1">
        <f t="array" ref="E310">$E$4+(ROW(305:305)-1)*(($F$4-$E$4)/(COUNT($A$6:$A$446)-1))</f>
        <v>2009.4287272727274</v>
      </c>
      <c r="F310" s="5">
        <v>0</v>
      </c>
      <c r="G310" s="3">
        <v>0</v>
      </c>
      <c r="H310" s="3">
        <v>0</v>
      </c>
    </row>
    <row r="311" spans="1:8" x14ac:dyDescent="0.3">
      <c r="A311" s="3">
        <v>2007.14</v>
      </c>
      <c r="B311" s="3">
        <v>-0.34454200000000001</v>
      </c>
      <c r="C311" s="3" t="e">
        <f t="shared" si="10"/>
        <v>#N/A</v>
      </c>
      <c r="D311" s="3">
        <f t="shared" si="11"/>
        <v>-0.34454200000000001</v>
      </c>
      <c r="E311" s="5" cm="1">
        <f t="array" ref="E311">$E$4+(ROW(306:306)-1)*(($F$4-$E$4)/(COUNT($A$6:$A$446)-1))</f>
        <v>2009.5057954545455</v>
      </c>
      <c r="F311" s="5">
        <v>0</v>
      </c>
      <c r="G311" s="3">
        <v>0</v>
      </c>
      <c r="H311" s="3">
        <v>0</v>
      </c>
    </row>
    <row r="312" spans="1:8" x14ac:dyDescent="0.3">
      <c r="A312" s="3">
        <v>2007.22</v>
      </c>
      <c r="B312" s="3">
        <v>-2.1929800000000002E-3</v>
      </c>
      <c r="C312" s="3" t="e">
        <f t="shared" si="10"/>
        <v>#N/A</v>
      </c>
      <c r="D312" s="3">
        <f t="shared" si="11"/>
        <v>-2.1929800000000002E-3</v>
      </c>
      <c r="E312" s="5" cm="1">
        <f t="array" ref="E312">$E$4+(ROW(307:307)-1)*(($F$4-$E$4)/(COUNT($A$6:$A$446)-1))</f>
        <v>2009.5828636363638</v>
      </c>
      <c r="F312" s="5">
        <v>0</v>
      </c>
      <c r="G312" s="3">
        <v>0</v>
      </c>
      <c r="H312" s="3">
        <v>0</v>
      </c>
    </row>
    <row r="313" spans="1:8" x14ac:dyDescent="0.3">
      <c r="A313" s="3">
        <v>2007.6</v>
      </c>
      <c r="B313" s="3">
        <v>-5.6286500000000003E-2</v>
      </c>
      <c r="C313" s="3" t="e">
        <f t="shared" si="10"/>
        <v>#N/A</v>
      </c>
      <c r="D313" s="3">
        <f t="shared" si="11"/>
        <v>-5.6286500000000003E-2</v>
      </c>
      <c r="E313" s="5" cm="1">
        <f t="array" ref="E313">$E$4+(ROW(308:308)-1)*(($F$4-$E$4)/(COUNT($A$6:$A$446)-1))</f>
        <v>2009.6599318181818</v>
      </c>
      <c r="F313" s="5">
        <v>0</v>
      </c>
      <c r="G313" s="3">
        <v>0</v>
      </c>
      <c r="H313" s="3">
        <v>0</v>
      </c>
    </row>
    <row r="314" spans="1:8" x14ac:dyDescent="0.3">
      <c r="A314" s="3">
        <v>2007.63</v>
      </c>
      <c r="B314" s="3">
        <v>-2.1929800000000002E-3</v>
      </c>
      <c r="C314" s="3" t="e">
        <f t="shared" si="10"/>
        <v>#N/A</v>
      </c>
      <c r="D314" s="3">
        <f t="shared" si="11"/>
        <v>-2.1929800000000002E-3</v>
      </c>
      <c r="E314" s="5" cm="1">
        <f t="array" ref="E314">$E$4+(ROW(309:309)-1)*(($F$4-$E$4)/(COUNT($A$6:$A$446)-1))</f>
        <v>2009.7370000000001</v>
      </c>
      <c r="F314" s="5">
        <v>0</v>
      </c>
      <c r="G314" s="3">
        <v>0</v>
      </c>
      <c r="H314" s="3">
        <v>0</v>
      </c>
    </row>
    <row r="315" spans="1:8" x14ac:dyDescent="0.3">
      <c r="A315" s="3">
        <v>2007.65</v>
      </c>
      <c r="B315" s="3">
        <v>-0.111842</v>
      </c>
      <c r="C315" s="3" t="e">
        <f t="shared" si="10"/>
        <v>#N/A</v>
      </c>
      <c r="D315" s="3">
        <f t="shared" si="11"/>
        <v>-0.111842</v>
      </c>
      <c r="E315" s="5" cm="1">
        <f t="array" ref="E315">$E$4+(ROW(310:310)-1)*(($F$4-$E$4)/(COUNT($A$6:$A$446)-1))</f>
        <v>2009.8140681818181</v>
      </c>
      <c r="F315" s="5">
        <v>0</v>
      </c>
      <c r="G315" s="3">
        <v>0</v>
      </c>
      <c r="H315" s="3">
        <v>0</v>
      </c>
    </row>
    <row r="316" spans="1:8" x14ac:dyDescent="0.3">
      <c r="A316" s="3">
        <v>2007.66</v>
      </c>
      <c r="B316" s="3">
        <v>-0.46393800000000002</v>
      </c>
      <c r="C316" s="3" t="e">
        <f t="shared" si="10"/>
        <v>#N/A</v>
      </c>
      <c r="D316" s="3">
        <f t="shared" si="11"/>
        <v>-0.46393800000000002</v>
      </c>
      <c r="E316" s="5" cm="1">
        <f t="array" ref="E316">$E$4+(ROW(311:311)-1)*(($F$4-$E$4)/(COUNT($A$6:$A$446)-1))</f>
        <v>2009.8911363636364</v>
      </c>
      <c r="F316" s="5">
        <v>0</v>
      </c>
      <c r="G316" s="3">
        <v>0</v>
      </c>
      <c r="H316" s="3">
        <v>0</v>
      </c>
    </row>
    <row r="317" spans="1:8" x14ac:dyDescent="0.3">
      <c r="A317" s="3">
        <v>2007.69</v>
      </c>
      <c r="B317" s="3">
        <v>-0.49805100000000002</v>
      </c>
      <c r="C317" s="3" t="e">
        <f t="shared" si="10"/>
        <v>#N/A</v>
      </c>
      <c r="D317" s="3">
        <f t="shared" si="11"/>
        <v>-0.49805100000000002</v>
      </c>
      <c r="E317" s="5" cm="1">
        <f t="array" ref="E317">$E$4+(ROW(312:312)-1)*(($F$4-$E$4)/(COUNT($A$6:$A$446)-1))</f>
        <v>2009.9682045454547</v>
      </c>
      <c r="F317" s="5">
        <v>4.2</v>
      </c>
      <c r="G317" s="3">
        <v>-1</v>
      </c>
      <c r="H317" s="3">
        <v>0.05</v>
      </c>
    </row>
    <row r="318" spans="1:8" x14ac:dyDescent="0.3">
      <c r="A318" s="3">
        <v>2007.73</v>
      </c>
      <c r="B318" s="3">
        <v>-0.49805100000000002</v>
      </c>
      <c r="C318" s="3" t="e">
        <f t="shared" si="10"/>
        <v>#N/A</v>
      </c>
      <c r="D318" s="3">
        <f t="shared" si="11"/>
        <v>-0.49805100000000002</v>
      </c>
      <c r="E318" s="5" cm="1">
        <f t="array" ref="E318">$E$4+(ROW(313:313)-1)*(($F$4-$E$4)/(COUNT($A$6:$A$446)-1))</f>
        <v>2010.0452727272727</v>
      </c>
      <c r="F318" s="5">
        <v>4.2</v>
      </c>
      <c r="G318" s="3">
        <v>-1</v>
      </c>
      <c r="H318" s="3">
        <v>0.05</v>
      </c>
    </row>
    <row r="319" spans="1:8" x14ac:dyDescent="0.3">
      <c r="A319" s="3">
        <v>2007.79</v>
      </c>
      <c r="B319" s="3">
        <v>-0.376218</v>
      </c>
      <c r="C319" s="3" t="e">
        <f t="shared" si="10"/>
        <v>#N/A</v>
      </c>
      <c r="D319" s="3">
        <f t="shared" si="11"/>
        <v>-0.376218</v>
      </c>
      <c r="E319" s="5" cm="1">
        <f t="array" ref="E319">$E$4+(ROW(314:314)-1)*(($F$4-$E$4)/(COUNT($A$6:$A$446)-1))</f>
        <v>2010.122340909091</v>
      </c>
      <c r="F319" s="5">
        <v>4.2</v>
      </c>
      <c r="G319" s="3">
        <v>-1</v>
      </c>
      <c r="H319" s="3">
        <v>0.05</v>
      </c>
    </row>
    <row r="320" spans="1:8" x14ac:dyDescent="0.3">
      <c r="A320" s="3">
        <v>2007.85</v>
      </c>
      <c r="B320" s="3">
        <v>-0.58577000000000001</v>
      </c>
      <c r="C320" s="3" t="e">
        <f t="shared" si="10"/>
        <v>#N/A</v>
      </c>
      <c r="D320" s="3">
        <f t="shared" si="11"/>
        <v>-0.58577000000000001</v>
      </c>
      <c r="E320" s="5" cm="1">
        <f t="array" ref="E320">$E$4+(ROW(315:315)-1)*(($F$4-$E$4)/(COUNT($A$6:$A$446)-1))</f>
        <v>2010.1994090909091</v>
      </c>
      <c r="F320" s="5">
        <v>4.2</v>
      </c>
      <c r="G320" s="3">
        <v>-1</v>
      </c>
      <c r="H320" s="3">
        <v>0.05</v>
      </c>
    </row>
    <row r="321" spans="1:8" x14ac:dyDescent="0.3">
      <c r="A321" s="3">
        <v>2007.89</v>
      </c>
      <c r="B321" s="3">
        <v>-0.55165699999999995</v>
      </c>
      <c r="C321" s="3" t="e">
        <f t="shared" si="10"/>
        <v>#N/A</v>
      </c>
      <c r="D321" s="3">
        <f t="shared" si="11"/>
        <v>-0.55165699999999995</v>
      </c>
      <c r="E321" s="5" cm="1">
        <f t="array" ref="E321">$E$4+(ROW(316:316)-1)*(($F$4-$E$4)/(COUNT($A$6:$A$446)-1))</f>
        <v>2010.2764772727273</v>
      </c>
      <c r="F321" s="5">
        <v>4.2</v>
      </c>
      <c r="G321" s="3">
        <v>-1</v>
      </c>
      <c r="H321" s="3">
        <v>0.05</v>
      </c>
    </row>
    <row r="322" spans="1:8" x14ac:dyDescent="0.3">
      <c r="A322" s="3">
        <v>2008.04</v>
      </c>
      <c r="B322" s="3">
        <v>-1.07212E-2</v>
      </c>
      <c r="C322" s="3" t="e">
        <f t="shared" si="10"/>
        <v>#N/A</v>
      </c>
      <c r="D322" s="3">
        <f t="shared" si="11"/>
        <v>-1.07212E-2</v>
      </c>
      <c r="E322" s="5" cm="1">
        <f t="array" ref="E322">$E$4+(ROW(317:317)-1)*(($F$4-$E$4)/(COUNT($A$6:$A$446)-1))</f>
        <v>2010.3535454545456</v>
      </c>
      <c r="F322" s="5">
        <v>4.2</v>
      </c>
      <c r="G322" s="3">
        <v>-1</v>
      </c>
      <c r="H322" s="3">
        <v>0.05</v>
      </c>
    </row>
    <row r="323" spans="1:8" x14ac:dyDescent="0.3">
      <c r="A323" s="3">
        <v>2008.04</v>
      </c>
      <c r="B323" s="3">
        <v>0.66057500000000002</v>
      </c>
      <c r="C323" s="3">
        <f t="shared" si="10"/>
        <v>0.66057500000000002</v>
      </c>
      <c r="D323" s="3" t="e">
        <f t="shared" si="11"/>
        <v>#N/A</v>
      </c>
      <c r="E323" s="5" cm="1">
        <f t="array" ref="E323">$E$4+(ROW(318:318)-1)*(($F$4-$E$4)/(COUNT($A$6:$A$446)-1))</f>
        <v>2010.4306136363637</v>
      </c>
      <c r="F323" s="5">
        <v>4.2</v>
      </c>
      <c r="G323" s="3">
        <v>-1</v>
      </c>
      <c r="H323" s="3">
        <v>0.05</v>
      </c>
    </row>
    <row r="324" spans="1:8" x14ac:dyDescent="0.3">
      <c r="A324" s="3">
        <v>2008.26</v>
      </c>
      <c r="B324" s="3">
        <v>1.1820200000000001</v>
      </c>
      <c r="C324" s="3">
        <f t="shared" si="10"/>
        <v>1.1820200000000001</v>
      </c>
      <c r="D324" s="3" t="e">
        <f t="shared" si="11"/>
        <v>#N/A</v>
      </c>
      <c r="E324" s="5" cm="1">
        <f t="array" ref="E324">$E$4+(ROW(319:319)-1)*(($F$4-$E$4)/(COUNT($A$6:$A$446)-1))</f>
        <v>2010.5076818181819</v>
      </c>
      <c r="F324" s="5">
        <v>4.2</v>
      </c>
      <c r="G324" s="3">
        <v>-1</v>
      </c>
      <c r="H324" s="3">
        <v>0.05</v>
      </c>
    </row>
    <row r="325" spans="1:8" x14ac:dyDescent="0.3">
      <c r="A325" s="3">
        <v>2008.42</v>
      </c>
      <c r="B325" s="3">
        <v>2.0592100000000002</v>
      </c>
      <c r="C325" s="3">
        <f t="shared" si="10"/>
        <v>2.0592100000000002</v>
      </c>
      <c r="D325" s="3" t="e">
        <f t="shared" si="11"/>
        <v>#N/A</v>
      </c>
      <c r="E325" s="5" cm="1">
        <f t="array" ref="E325">$E$4+(ROW(320:320)-1)*(($F$4-$E$4)/(COUNT($A$6:$A$446)-1))</f>
        <v>2010.58475</v>
      </c>
      <c r="F325" s="5">
        <v>4.2</v>
      </c>
      <c r="G325" s="3">
        <v>-1</v>
      </c>
      <c r="H325" s="3">
        <v>0.05</v>
      </c>
    </row>
    <row r="326" spans="1:8" x14ac:dyDescent="0.3">
      <c r="A326" s="3">
        <v>2008.45</v>
      </c>
      <c r="B326" s="3">
        <v>4.62963E-3</v>
      </c>
      <c r="C326" s="3">
        <f t="shared" si="10"/>
        <v>4.62963E-3</v>
      </c>
      <c r="D326" s="3" t="e">
        <f t="shared" si="11"/>
        <v>#N/A</v>
      </c>
      <c r="E326" s="5" cm="1">
        <f t="array" ref="E326">$E$4+(ROW(321:321)-1)*(($F$4-$E$4)/(COUNT($A$6:$A$446)-1))</f>
        <v>2010.6618181818183</v>
      </c>
      <c r="F326" s="5">
        <v>4.2</v>
      </c>
      <c r="G326" s="3">
        <v>-1</v>
      </c>
      <c r="H326" s="3">
        <v>0.05</v>
      </c>
    </row>
    <row r="327" spans="1:8" x14ac:dyDescent="0.3">
      <c r="A327" s="3">
        <v>2008.83</v>
      </c>
      <c r="B327" s="3">
        <v>2.0567700000000002</v>
      </c>
      <c r="C327" s="3">
        <f t="shared" ref="C327:C390" si="12">IF(B327&gt;=$C$4,B327,$D$4)</f>
        <v>2.0567700000000002</v>
      </c>
      <c r="D327" s="3" t="e">
        <f t="shared" ref="D327:D390" si="13">IF(B327&lt;=$C$4,B327,$D$4)</f>
        <v>#N/A</v>
      </c>
      <c r="E327" s="5" cm="1">
        <f t="array" ref="E327">$E$4+(ROW(322:322)-1)*(($F$4-$E$4)/(COUNT($A$6:$A$446)-1))</f>
        <v>2010.7388863636365</v>
      </c>
      <c r="F327" s="5">
        <v>4.2</v>
      </c>
      <c r="G327" s="3">
        <v>-1</v>
      </c>
      <c r="H327" s="3">
        <v>0.05</v>
      </c>
    </row>
    <row r="328" spans="1:8" x14ac:dyDescent="0.3">
      <c r="A328" s="3">
        <v>2008.86</v>
      </c>
      <c r="B328" s="3">
        <v>2.1929800000000002E-3</v>
      </c>
      <c r="C328" s="3">
        <f t="shared" si="12"/>
        <v>2.1929800000000002E-3</v>
      </c>
      <c r="D328" s="3" t="e">
        <f t="shared" si="13"/>
        <v>#N/A</v>
      </c>
      <c r="E328" s="5" cm="1">
        <f t="array" ref="E328">$E$4+(ROW(323:323)-1)*(($F$4-$E$4)/(COUNT($A$6:$A$446)-1))</f>
        <v>2010.8159545454546</v>
      </c>
      <c r="F328" s="5">
        <v>4.2</v>
      </c>
      <c r="G328" s="3">
        <v>-1</v>
      </c>
      <c r="H328" s="3">
        <v>0.05</v>
      </c>
    </row>
    <row r="329" spans="1:8" x14ac:dyDescent="0.3">
      <c r="A329" s="3">
        <v>2009.03</v>
      </c>
      <c r="B329" s="3">
        <v>3.0911300000000002</v>
      </c>
      <c r="C329" s="3">
        <f t="shared" si="12"/>
        <v>3.0911300000000002</v>
      </c>
      <c r="D329" s="3" t="e">
        <f t="shared" si="13"/>
        <v>#N/A</v>
      </c>
      <c r="E329" s="5" cm="1">
        <f t="array" ref="E329">$E$4+(ROW(324:324)-1)*(($F$4-$E$4)/(COUNT($A$6:$A$446)-1))</f>
        <v>2010.8930227272729</v>
      </c>
      <c r="F329" s="5">
        <v>4.2</v>
      </c>
      <c r="G329" s="3">
        <v>-1</v>
      </c>
      <c r="H329" s="3">
        <v>0.05</v>
      </c>
    </row>
    <row r="330" spans="1:8" x14ac:dyDescent="0.3">
      <c r="A330" s="3">
        <v>2009.04</v>
      </c>
      <c r="B330" s="3">
        <v>3.0034100000000001</v>
      </c>
      <c r="C330" s="3">
        <f t="shared" si="12"/>
        <v>3.0034100000000001</v>
      </c>
      <c r="D330" s="3" t="e">
        <f t="shared" si="13"/>
        <v>#N/A</v>
      </c>
      <c r="E330" s="5" cm="1">
        <f t="array" ref="E330">$E$4+(ROW(325:325)-1)*(($F$4-$E$4)/(COUNT($A$6:$A$446)-1))</f>
        <v>2010.9700909090909</v>
      </c>
      <c r="F330" s="5">
        <v>0</v>
      </c>
      <c r="G330" s="3">
        <v>0</v>
      </c>
      <c r="H330" s="3">
        <v>0</v>
      </c>
    </row>
    <row r="331" spans="1:8" x14ac:dyDescent="0.3">
      <c r="A331" s="3">
        <v>2009.05</v>
      </c>
      <c r="B331" s="3">
        <v>3.1788500000000002</v>
      </c>
      <c r="C331" s="3">
        <f t="shared" si="12"/>
        <v>3.1788500000000002</v>
      </c>
      <c r="D331" s="3" t="e">
        <f t="shared" si="13"/>
        <v>#N/A</v>
      </c>
      <c r="E331" s="5" cm="1">
        <f t="array" ref="E331">$E$4+(ROW(326:326)-1)*(($F$4-$E$4)/(COUNT($A$6:$A$446)-1))</f>
        <v>2011.0471590909092</v>
      </c>
      <c r="F331" s="5">
        <v>0</v>
      </c>
      <c r="G331" s="3">
        <v>0</v>
      </c>
      <c r="H331" s="3">
        <v>0</v>
      </c>
    </row>
    <row r="332" spans="1:8" x14ac:dyDescent="0.3">
      <c r="A332" s="3">
        <v>2009.06</v>
      </c>
      <c r="B332" s="3">
        <v>3.2665700000000002</v>
      </c>
      <c r="C332" s="3">
        <f t="shared" si="12"/>
        <v>3.2665700000000002</v>
      </c>
      <c r="D332" s="3" t="e">
        <f t="shared" si="13"/>
        <v>#N/A</v>
      </c>
      <c r="E332" s="5" cm="1">
        <f t="array" ref="E332">$E$4+(ROW(327:327)-1)*(($F$4-$E$4)/(COUNT($A$6:$A$446)-1))</f>
        <v>2011.1242272727272</v>
      </c>
      <c r="F332" s="5">
        <v>0</v>
      </c>
      <c r="G332" s="3">
        <v>0</v>
      </c>
      <c r="H332" s="3">
        <v>0</v>
      </c>
    </row>
    <row r="333" spans="1:8" x14ac:dyDescent="0.3">
      <c r="A333" s="3">
        <v>2009.07</v>
      </c>
      <c r="B333" s="3">
        <v>3.7051699999999999</v>
      </c>
      <c r="C333" s="3">
        <f t="shared" si="12"/>
        <v>3.7051699999999999</v>
      </c>
      <c r="D333" s="3" t="e">
        <f t="shared" si="13"/>
        <v>#N/A</v>
      </c>
      <c r="E333" s="5" cm="1">
        <f t="array" ref="E333">$E$4+(ROW(328:328)-1)*(($F$4-$E$4)/(COUNT($A$6:$A$446)-1))</f>
        <v>2011.2012954545455</v>
      </c>
      <c r="F333" s="5">
        <v>0</v>
      </c>
      <c r="G333" s="3">
        <v>0</v>
      </c>
      <c r="H333" s="3">
        <v>0</v>
      </c>
    </row>
    <row r="334" spans="1:8" x14ac:dyDescent="0.3">
      <c r="A334" s="3">
        <v>2009.07</v>
      </c>
      <c r="B334" s="3">
        <v>3.3542900000000002</v>
      </c>
      <c r="C334" s="3">
        <f t="shared" si="12"/>
        <v>3.3542900000000002</v>
      </c>
      <c r="D334" s="3" t="e">
        <f t="shared" si="13"/>
        <v>#N/A</v>
      </c>
      <c r="E334" s="5" cm="1">
        <f t="array" ref="E334">$E$4+(ROW(329:329)-1)*(($F$4-$E$4)/(COUNT($A$6:$A$446)-1))</f>
        <v>2011.2783636363638</v>
      </c>
      <c r="F334" s="5">
        <v>0</v>
      </c>
      <c r="G334" s="3">
        <v>0</v>
      </c>
      <c r="H334" s="3">
        <v>0</v>
      </c>
    </row>
    <row r="335" spans="1:8" x14ac:dyDescent="0.3">
      <c r="A335" s="3">
        <v>2009.08</v>
      </c>
      <c r="B335" s="3">
        <v>3.7928799999999998</v>
      </c>
      <c r="C335" s="3">
        <f t="shared" si="12"/>
        <v>3.7928799999999998</v>
      </c>
      <c r="D335" s="3" t="e">
        <f t="shared" si="13"/>
        <v>#N/A</v>
      </c>
      <c r="E335" s="5" cm="1">
        <f t="array" ref="E335">$E$4+(ROW(330:330)-1)*(($F$4-$E$4)/(COUNT($A$6:$A$446)-1))</f>
        <v>2011.3554318181818</v>
      </c>
      <c r="F335" s="5">
        <v>0</v>
      </c>
      <c r="G335" s="3">
        <v>0</v>
      </c>
      <c r="H335" s="3">
        <v>0</v>
      </c>
    </row>
    <row r="336" spans="1:8" x14ac:dyDescent="0.3">
      <c r="A336" s="3">
        <v>2009.1</v>
      </c>
      <c r="B336" s="3">
        <v>3.6174499999999998</v>
      </c>
      <c r="C336" s="3">
        <f t="shared" si="12"/>
        <v>3.6174499999999998</v>
      </c>
      <c r="D336" s="3" t="e">
        <f t="shared" si="13"/>
        <v>#N/A</v>
      </c>
      <c r="E336" s="5" cm="1">
        <f t="array" ref="E336">$E$4+(ROW(331:331)-1)*(($F$4-$E$4)/(COUNT($A$6:$A$446)-1))</f>
        <v>2011.4325000000001</v>
      </c>
      <c r="F336" s="5">
        <v>0</v>
      </c>
      <c r="G336" s="3">
        <v>0</v>
      </c>
      <c r="H336" s="3">
        <v>0</v>
      </c>
    </row>
    <row r="337" spans="1:8" x14ac:dyDescent="0.3">
      <c r="A337" s="3">
        <v>2009.11</v>
      </c>
      <c r="B337" s="3">
        <v>3.4420099999999998</v>
      </c>
      <c r="C337" s="3">
        <f t="shared" si="12"/>
        <v>3.4420099999999998</v>
      </c>
      <c r="D337" s="3" t="e">
        <f t="shared" si="13"/>
        <v>#N/A</v>
      </c>
      <c r="E337" s="5" cm="1">
        <f t="array" ref="E337">$E$4+(ROW(332:332)-1)*(($F$4-$E$4)/(COUNT($A$6:$A$446)-1))</f>
        <v>2011.5095681818182</v>
      </c>
      <c r="F337" s="5">
        <v>0</v>
      </c>
      <c r="G337" s="3">
        <v>0</v>
      </c>
      <c r="H337" s="3">
        <v>0</v>
      </c>
    </row>
    <row r="338" spans="1:8" x14ac:dyDescent="0.3">
      <c r="A338" s="3">
        <v>2009.12</v>
      </c>
      <c r="B338" s="3">
        <v>2.6842100000000002</v>
      </c>
      <c r="C338" s="3">
        <f t="shared" si="12"/>
        <v>2.6842100000000002</v>
      </c>
      <c r="D338" s="3" t="e">
        <f t="shared" si="13"/>
        <v>#N/A</v>
      </c>
      <c r="E338" s="5" cm="1">
        <f t="array" ref="E338">$E$4+(ROW(333:333)-1)*(($F$4-$E$4)/(COUNT($A$6:$A$446)-1))</f>
        <v>2011.5866363636364</v>
      </c>
      <c r="F338" s="5">
        <v>0</v>
      </c>
      <c r="G338" s="3">
        <v>0</v>
      </c>
      <c r="H338" s="3">
        <v>0</v>
      </c>
    </row>
    <row r="339" spans="1:8" x14ac:dyDescent="0.3">
      <c r="A339" s="3">
        <v>2009.12</v>
      </c>
      <c r="B339" s="3">
        <v>3.5297299999999998</v>
      </c>
      <c r="C339" s="3">
        <f t="shared" si="12"/>
        <v>3.5297299999999998</v>
      </c>
      <c r="D339" s="3" t="e">
        <f t="shared" si="13"/>
        <v>#N/A</v>
      </c>
      <c r="E339" s="5" cm="1">
        <f t="array" ref="E339">$E$4+(ROW(334:334)-1)*(($F$4-$E$4)/(COUNT($A$6:$A$446)-1))</f>
        <v>2011.6637045454545</v>
      </c>
      <c r="F339" s="5">
        <v>0</v>
      </c>
      <c r="G339" s="3">
        <v>0</v>
      </c>
      <c r="H339" s="3">
        <v>0</v>
      </c>
    </row>
    <row r="340" spans="1:8" x14ac:dyDescent="0.3">
      <c r="A340" s="3">
        <v>2009.12</v>
      </c>
      <c r="B340" s="3">
        <v>2.9181300000000001</v>
      </c>
      <c r="C340" s="3">
        <f t="shared" si="12"/>
        <v>2.9181300000000001</v>
      </c>
      <c r="D340" s="3" t="e">
        <f t="shared" si="13"/>
        <v>#N/A</v>
      </c>
      <c r="E340" s="5" cm="1">
        <f t="array" ref="E340">$E$4+(ROW(335:335)-1)*(($F$4-$E$4)/(COUNT($A$6:$A$446)-1))</f>
        <v>2011.7407727272728</v>
      </c>
      <c r="F340" s="5">
        <v>0</v>
      </c>
      <c r="G340" s="3">
        <v>0</v>
      </c>
      <c r="H340" s="3">
        <v>0</v>
      </c>
    </row>
    <row r="341" spans="1:8" x14ac:dyDescent="0.3">
      <c r="A341" s="3">
        <v>2009.27</v>
      </c>
      <c r="B341" s="3">
        <v>2.1929800000000002E-3</v>
      </c>
      <c r="C341" s="3">
        <f t="shared" si="12"/>
        <v>2.1929800000000002E-3</v>
      </c>
      <c r="D341" s="3" t="e">
        <f t="shared" si="13"/>
        <v>#N/A</v>
      </c>
      <c r="E341" s="5" cm="1">
        <f t="array" ref="E341">$E$4+(ROW(336:336)-1)*(($F$4-$E$4)/(COUNT($A$6:$A$446)-1))</f>
        <v>2011.817840909091</v>
      </c>
      <c r="F341" s="5">
        <v>0</v>
      </c>
      <c r="G341" s="3">
        <v>0</v>
      </c>
      <c r="H341" s="3">
        <v>0</v>
      </c>
    </row>
    <row r="342" spans="1:8" x14ac:dyDescent="0.3">
      <c r="A342" s="3">
        <v>2009.52</v>
      </c>
      <c r="B342" s="3">
        <v>3.4407899999999998</v>
      </c>
      <c r="C342" s="3">
        <f t="shared" si="12"/>
        <v>3.4407899999999998</v>
      </c>
      <c r="D342" s="3" t="e">
        <f t="shared" si="13"/>
        <v>#N/A</v>
      </c>
      <c r="E342" s="5" cm="1">
        <f t="array" ref="E342">$E$4+(ROW(337:337)-1)*(($F$4-$E$4)/(COUNT($A$6:$A$446)-1))</f>
        <v>2011.8949090909091</v>
      </c>
      <c r="F342" s="5">
        <v>0</v>
      </c>
      <c r="G342" s="3">
        <v>0</v>
      </c>
      <c r="H342" s="3">
        <v>0</v>
      </c>
    </row>
    <row r="343" spans="1:8" x14ac:dyDescent="0.3">
      <c r="A343" s="3">
        <v>2009.53</v>
      </c>
      <c r="B343" s="3">
        <v>2.6720299999999999</v>
      </c>
      <c r="C343" s="3">
        <f t="shared" si="12"/>
        <v>2.6720299999999999</v>
      </c>
      <c r="D343" s="3" t="e">
        <f t="shared" si="13"/>
        <v>#N/A</v>
      </c>
      <c r="E343" s="5" cm="1">
        <f t="array" ref="E343">$E$4+(ROW(338:338)-1)*(($F$4-$E$4)/(COUNT($A$6:$A$446)-1))</f>
        <v>2011.9719772727274</v>
      </c>
      <c r="F343" s="5">
        <v>0</v>
      </c>
      <c r="G343" s="3">
        <v>0</v>
      </c>
      <c r="H343" s="3">
        <v>0</v>
      </c>
    </row>
    <row r="344" spans="1:8" x14ac:dyDescent="0.3">
      <c r="A344" s="3">
        <v>2009.93</v>
      </c>
      <c r="B344" s="3">
        <v>3.4383499999999998</v>
      </c>
      <c r="C344" s="3">
        <f t="shared" si="12"/>
        <v>3.4383499999999998</v>
      </c>
      <c r="D344" s="3" t="e">
        <f t="shared" si="13"/>
        <v>#N/A</v>
      </c>
      <c r="E344" s="5" cm="1">
        <f t="array" ref="E344">$E$4+(ROW(339:339)-1)*(($F$4-$E$4)/(COUNT($A$6:$A$446)-1))</f>
        <v>2012.0490454545454</v>
      </c>
      <c r="F344" s="5">
        <v>0</v>
      </c>
      <c r="G344" s="3">
        <v>0</v>
      </c>
      <c r="H344" s="3">
        <v>0</v>
      </c>
    </row>
    <row r="345" spans="1:8" x14ac:dyDescent="0.3">
      <c r="A345" s="3">
        <v>2010.19</v>
      </c>
      <c r="B345" s="3">
        <v>3.3969299999999998</v>
      </c>
      <c r="C345" s="3">
        <f t="shared" si="12"/>
        <v>3.3969299999999998</v>
      </c>
      <c r="D345" s="3" t="e">
        <f t="shared" si="13"/>
        <v>#N/A</v>
      </c>
      <c r="E345" s="5" cm="1">
        <f t="array" ref="E345">$E$4+(ROW(340:340)-1)*(($F$4-$E$4)/(COUNT($A$6:$A$446)-1))</f>
        <v>2012.1261136363637</v>
      </c>
      <c r="F345" s="5">
        <v>0</v>
      </c>
      <c r="G345" s="3">
        <v>0</v>
      </c>
      <c r="H345" s="3">
        <v>0</v>
      </c>
    </row>
    <row r="346" spans="1:8" x14ac:dyDescent="0.3">
      <c r="A346" s="3">
        <v>2010.88</v>
      </c>
      <c r="B346" s="3">
        <v>2.8718300000000001</v>
      </c>
      <c r="C346" s="3">
        <f t="shared" si="12"/>
        <v>2.8718300000000001</v>
      </c>
      <c r="D346" s="3" t="e">
        <f t="shared" si="13"/>
        <v>#N/A</v>
      </c>
      <c r="E346" s="5" cm="1">
        <f t="array" ref="E346">$E$4+(ROW(341:341)-1)*(($F$4-$E$4)/(COUNT($A$6:$A$446)-1))</f>
        <v>2012.203181818182</v>
      </c>
      <c r="F346" s="5">
        <v>0</v>
      </c>
      <c r="G346" s="3">
        <v>0</v>
      </c>
      <c r="H346" s="3">
        <v>0</v>
      </c>
    </row>
    <row r="347" spans="1:8" x14ac:dyDescent="0.3">
      <c r="A347" s="3">
        <v>2010.9</v>
      </c>
      <c r="B347" s="3">
        <v>2.7828900000000001</v>
      </c>
      <c r="C347" s="3">
        <f t="shared" si="12"/>
        <v>2.7828900000000001</v>
      </c>
      <c r="D347" s="3" t="e">
        <f t="shared" si="13"/>
        <v>#N/A</v>
      </c>
      <c r="E347" s="5" cm="1">
        <f t="array" ref="E347">$E$4+(ROW(342:342)-1)*(($F$4-$E$4)/(COUNT($A$6:$A$446)-1))</f>
        <v>2012.28025</v>
      </c>
      <c r="F347" s="5">
        <v>0</v>
      </c>
      <c r="G347" s="3">
        <v>0</v>
      </c>
      <c r="H347" s="3">
        <v>0</v>
      </c>
    </row>
    <row r="348" spans="1:8" x14ac:dyDescent="0.3">
      <c r="A348" s="3">
        <v>2010.93</v>
      </c>
      <c r="B348" s="3">
        <v>2.5197400000000001</v>
      </c>
      <c r="C348" s="3">
        <f t="shared" si="12"/>
        <v>2.5197400000000001</v>
      </c>
      <c r="D348" s="3" t="e">
        <f t="shared" si="13"/>
        <v>#N/A</v>
      </c>
      <c r="E348" s="5" cm="1">
        <f t="array" ref="E348">$E$4+(ROW(343:343)-1)*(($F$4-$E$4)/(COUNT($A$6:$A$446)-1))</f>
        <v>2012.3573181818183</v>
      </c>
      <c r="F348" s="5">
        <v>0</v>
      </c>
      <c r="G348" s="3">
        <v>0</v>
      </c>
      <c r="H348" s="3">
        <v>0</v>
      </c>
    </row>
    <row r="349" spans="1:8" x14ac:dyDescent="0.3">
      <c r="A349" s="3">
        <v>2010.93</v>
      </c>
      <c r="B349" s="3">
        <v>2.4320200000000001</v>
      </c>
      <c r="C349" s="3">
        <f t="shared" si="12"/>
        <v>2.4320200000000001</v>
      </c>
      <c r="D349" s="3" t="e">
        <f t="shared" si="13"/>
        <v>#N/A</v>
      </c>
      <c r="E349" s="5" cm="1">
        <f t="array" ref="E349">$E$4+(ROW(344:344)-1)*(($F$4-$E$4)/(COUNT($A$6:$A$446)-1))</f>
        <v>2012.4343863636363</v>
      </c>
      <c r="F349" s="5">
        <v>0</v>
      </c>
      <c r="G349" s="3">
        <v>0</v>
      </c>
      <c r="H349" s="3">
        <v>0</v>
      </c>
    </row>
    <row r="350" spans="1:8" x14ac:dyDescent="0.3">
      <c r="A350" s="3">
        <v>2010.93</v>
      </c>
      <c r="B350" s="3">
        <v>2.3443000000000001</v>
      </c>
      <c r="C350" s="3">
        <f t="shared" si="12"/>
        <v>2.3443000000000001</v>
      </c>
      <c r="D350" s="3" t="e">
        <f t="shared" si="13"/>
        <v>#N/A</v>
      </c>
      <c r="E350" s="5" cm="1">
        <f t="array" ref="E350">$E$4+(ROW(345:345)-1)*(($F$4-$E$4)/(COUNT($A$6:$A$446)-1))</f>
        <v>2012.5114545454546</v>
      </c>
      <c r="F350" s="5">
        <v>0</v>
      </c>
      <c r="G350" s="3">
        <v>0</v>
      </c>
      <c r="H350" s="3">
        <v>0</v>
      </c>
    </row>
    <row r="351" spans="1:8" x14ac:dyDescent="0.3">
      <c r="A351" s="3">
        <v>2010.94</v>
      </c>
      <c r="B351" s="3">
        <v>2.6074600000000001</v>
      </c>
      <c r="C351" s="3">
        <f t="shared" si="12"/>
        <v>2.6074600000000001</v>
      </c>
      <c r="D351" s="3" t="e">
        <f t="shared" si="13"/>
        <v>#N/A</v>
      </c>
      <c r="E351" s="5" cm="1">
        <f t="array" ref="E351">$E$4+(ROW(346:346)-1)*(($F$4-$E$4)/(COUNT($A$6:$A$446)-1))</f>
        <v>2012.5885227272729</v>
      </c>
      <c r="F351" s="5">
        <v>0</v>
      </c>
      <c r="G351" s="3">
        <v>0</v>
      </c>
      <c r="H351" s="3">
        <v>0</v>
      </c>
    </row>
    <row r="352" spans="1:8" x14ac:dyDescent="0.3">
      <c r="A352" s="3">
        <v>2010.94</v>
      </c>
      <c r="B352" s="3">
        <v>2.6951800000000001</v>
      </c>
      <c r="C352" s="3">
        <f t="shared" si="12"/>
        <v>2.6951800000000001</v>
      </c>
      <c r="D352" s="3" t="e">
        <f t="shared" si="13"/>
        <v>#N/A</v>
      </c>
      <c r="E352" s="5" cm="1">
        <f t="array" ref="E352">$E$4+(ROW(347:347)-1)*(($F$4-$E$4)/(COUNT($A$6:$A$446)-1))</f>
        <v>2012.665590909091</v>
      </c>
      <c r="F352" s="5">
        <v>0</v>
      </c>
      <c r="G352" s="3">
        <v>0</v>
      </c>
      <c r="H352" s="3">
        <v>0</v>
      </c>
    </row>
    <row r="353" spans="1:8" x14ac:dyDescent="0.3">
      <c r="A353" s="3">
        <v>2010.96</v>
      </c>
      <c r="B353" s="3">
        <v>2.9546800000000002</v>
      </c>
      <c r="C353" s="3">
        <f t="shared" si="12"/>
        <v>2.9546800000000002</v>
      </c>
      <c r="D353" s="3" t="e">
        <f t="shared" si="13"/>
        <v>#N/A</v>
      </c>
      <c r="E353" s="5" cm="1">
        <f t="array" ref="E353">$E$4+(ROW(348:348)-1)*(($F$4-$E$4)/(COUNT($A$6:$A$446)-1))</f>
        <v>2012.7426590909092</v>
      </c>
      <c r="F353" s="5">
        <v>0</v>
      </c>
      <c r="G353" s="3">
        <v>0</v>
      </c>
      <c r="H353" s="3">
        <v>0</v>
      </c>
    </row>
    <row r="354" spans="1:8" x14ac:dyDescent="0.3">
      <c r="A354" s="3">
        <v>2011.19</v>
      </c>
      <c r="B354" s="3">
        <v>3.0241199999999999</v>
      </c>
      <c r="C354" s="3">
        <f t="shared" si="12"/>
        <v>3.0241199999999999</v>
      </c>
      <c r="D354" s="3" t="e">
        <f t="shared" si="13"/>
        <v>#N/A</v>
      </c>
      <c r="E354" s="5" cm="1">
        <f t="array" ref="E354">$E$4+(ROW(349:349)-1)*(($F$4-$E$4)/(COUNT($A$6:$A$446)-1))</f>
        <v>2012.8197272727273</v>
      </c>
      <c r="F354" s="5">
        <v>0</v>
      </c>
      <c r="G354" s="3">
        <v>0</v>
      </c>
      <c r="H354" s="3">
        <v>0</v>
      </c>
    </row>
    <row r="355" spans="1:8" x14ac:dyDescent="0.3">
      <c r="A355" s="3">
        <v>2011.36</v>
      </c>
      <c r="B355" s="3">
        <v>3.5699299999999998</v>
      </c>
      <c r="C355" s="3">
        <f t="shared" si="12"/>
        <v>3.5699299999999998</v>
      </c>
      <c r="D355" s="3" t="e">
        <f t="shared" si="13"/>
        <v>#N/A</v>
      </c>
      <c r="E355" s="5" cm="1">
        <f t="array" ref="E355">$E$4+(ROW(350:350)-1)*(($F$4-$E$4)/(COUNT($A$6:$A$446)-1))</f>
        <v>2012.8967954545456</v>
      </c>
      <c r="F355" s="5">
        <v>0</v>
      </c>
      <c r="G355" s="3">
        <v>0</v>
      </c>
      <c r="H355" s="3">
        <v>0</v>
      </c>
    </row>
    <row r="356" spans="1:8" x14ac:dyDescent="0.3">
      <c r="A356" s="3">
        <v>2011.41</v>
      </c>
      <c r="B356" s="3">
        <v>3.3092100000000002</v>
      </c>
      <c r="C356" s="3">
        <f t="shared" si="12"/>
        <v>3.3092100000000002</v>
      </c>
      <c r="D356" s="3" t="e">
        <f t="shared" si="13"/>
        <v>#N/A</v>
      </c>
      <c r="E356" s="5" cm="1">
        <f t="array" ref="E356">$E$4+(ROW(351:351)-1)*(($F$4-$E$4)/(COUNT($A$6:$A$446)-1))</f>
        <v>2012.9738636363636</v>
      </c>
      <c r="F356" s="5">
        <v>0</v>
      </c>
      <c r="G356" s="3">
        <v>0</v>
      </c>
      <c r="H356" s="3">
        <v>0</v>
      </c>
    </row>
    <row r="357" spans="1:8" x14ac:dyDescent="0.3">
      <c r="A357" s="3">
        <v>2011.41</v>
      </c>
      <c r="B357" s="3">
        <v>3.2214900000000002</v>
      </c>
      <c r="C357" s="3">
        <f t="shared" si="12"/>
        <v>3.2214900000000002</v>
      </c>
      <c r="D357" s="3" t="e">
        <f t="shared" si="13"/>
        <v>#N/A</v>
      </c>
      <c r="E357" s="5" cm="1">
        <f t="array" ref="E357">$E$4+(ROW(352:352)-1)*(($F$4-$E$4)/(COUNT($A$6:$A$446)-1))</f>
        <v>2013.0509318181819</v>
      </c>
      <c r="F357" s="5">
        <v>0</v>
      </c>
      <c r="G357" s="3">
        <v>0</v>
      </c>
      <c r="H357" s="3">
        <v>0</v>
      </c>
    </row>
    <row r="358" spans="1:8" x14ac:dyDescent="0.3">
      <c r="A358" s="3">
        <v>2011.43</v>
      </c>
      <c r="B358" s="3">
        <v>3.3969299999999998</v>
      </c>
      <c r="C358" s="3">
        <f t="shared" si="12"/>
        <v>3.3969299999999998</v>
      </c>
      <c r="D358" s="3" t="e">
        <f t="shared" si="13"/>
        <v>#N/A</v>
      </c>
      <c r="E358" s="5" cm="1">
        <f t="array" ref="E358">$E$4+(ROW(353:353)-1)*(($F$4-$E$4)/(COUNT($A$6:$A$446)-1))</f>
        <v>2013.1280000000002</v>
      </c>
      <c r="F358" s="5">
        <v>0</v>
      </c>
      <c r="G358" s="3">
        <v>0</v>
      </c>
      <c r="H358" s="3">
        <v>0</v>
      </c>
    </row>
    <row r="359" spans="1:8" x14ac:dyDescent="0.3">
      <c r="A359" s="3">
        <v>2011.46</v>
      </c>
      <c r="B359" s="3">
        <v>3.4846499999999998</v>
      </c>
      <c r="C359" s="3">
        <f t="shared" si="12"/>
        <v>3.4846499999999998</v>
      </c>
      <c r="D359" s="3" t="e">
        <f t="shared" si="13"/>
        <v>#N/A</v>
      </c>
      <c r="E359" s="5" cm="1">
        <f t="array" ref="E359">$E$4+(ROW(354:354)-1)*(($F$4-$E$4)/(COUNT($A$6:$A$446)-1))</f>
        <v>2013.2050681818182</v>
      </c>
      <c r="F359" s="5">
        <v>0</v>
      </c>
      <c r="G359" s="3">
        <v>0</v>
      </c>
      <c r="H359" s="3">
        <v>0</v>
      </c>
    </row>
    <row r="360" spans="1:8" x14ac:dyDescent="0.3">
      <c r="A360" s="3">
        <v>2011.52</v>
      </c>
      <c r="B360" s="3">
        <v>3.1374300000000002</v>
      </c>
      <c r="C360" s="3">
        <f t="shared" si="12"/>
        <v>3.1374300000000002</v>
      </c>
      <c r="D360" s="3" t="e">
        <f t="shared" si="13"/>
        <v>#N/A</v>
      </c>
      <c r="E360" s="5" cm="1">
        <f t="array" ref="E360">$E$4+(ROW(355:355)-1)*(($F$4-$E$4)/(COUNT($A$6:$A$446)-1))</f>
        <v>2013.2821363636365</v>
      </c>
      <c r="F360" s="5">
        <v>0</v>
      </c>
      <c r="G360" s="3">
        <v>0</v>
      </c>
      <c r="H360" s="3">
        <v>0</v>
      </c>
    </row>
    <row r="361" spans="1:8" x14ac:dyDescent="0.3">
      <c r="A361" s="3">
        <v>2011.55</v>
      </c>
      <c r="B361" s="3">
        <v>3.0667599999999999</v>
      </c>
      <c r="C361" s="3">
        <f t="shared" si="12"/>
        <v>3.0667599999999999</v>
      </c>
      <c r="D361" s="3" t="e">
        <f t="shared" si="13"/>
        <v>#N/A</v>
      </c>
      <c r="E361" s="5" cm="1">
        <f t="array" ref="E361">$E$4+(ROW(356:356)-1)*(($F$4-$E$4)/(COUNT($A$6:$A$446)-1))</f>
        <v>2013.3592045454545</v>
      </c>
      <c r="F361" s="5">
        <v>0</v>
      </c>
      <c r="G361" s="3">
        <v>0</v>
      </c>
      <c r="H361" s="3">
        <v>0</v>
      </c>
    </row>
    <row r="362" spans="1:8" x14ac:dyDescent="0.3">
      <c r="A362" s="3">
        <v>2011.68</v>
      </c>
      <c r="B362" s="3">
        <v>3.0436200000000002</v>
      </c>
      <c r="C362" s="3">
        <f t="shared" si="12"/>
        <v>3.0436200000000002</v>
      </c>
      <c r="D362" s="3" t="e">
        <f t="shared" si="13"/>
        <v>#N/A</v>
      </c>
      <c r="E362" s="5" cm="1">
        <f t="array" ref="E362">$E$4+(ROW(357:357)-1)*(($F$4-$E$4)/(COUNT($A$6:$A$446)-1))</f>
        <v>2013.4362727272728</v>
      </c>
      <c r="F362" s="5">
        <v>0</v>
      </c>
      <c r="G362" s="3">
        <v>0</v>
      </c>
      <c r="H362" s="3">
        <v>0</v>
      </c>
    </row>
    <row r="363" spans="1:8" x14ac:dyDescent="0.3">
      <c r="A363" s="3">
        <v>2011.71</v>
      </c>
      <c r="B363" s="3">
        <v>3.06067</v>
      </c>
      <c r="C363" s="3">
        <f t="shared" si="12"/>
        <v>3.06067</v>
      </c>
      <c r="D363" s="3" t="e">
        <f t="shared" si="13"/>
        <v>#N/A</v>
      </c>
      <c r="E363" s="5" cm="1">
        <f t="array" ref="E363">$E$4+(ROW(358:358)-1)*(($F$4-$E$4)/(COUNT($A$6:$A$446)-1))</f>
        <v>2013.5133409090911</v>
      </c>
      <c r="F363" s="5">
        <v>0</v>
      </c>
      <c r="G363" s="3">
        <v>0</v>
      </c>
      <c r="H363" s="3">
        <v>0</v>
      </c>
    </row>
    <row r="364" spans="1:8" x14ac:dyDescent="0.3">
      <c r="A364" s="3">
        <v>2011.71</v>
      </c>
      <c r="B364" s="3">
        <v>2.9559000000000002</v>
      </c>
      <c r="C364" s="3">
        <f t="shared" si="12"/>
        <v>2.9559000000000002</v>
      </c>
      <c r="D364" s="3" t="e">
        <f t="shared" si="13"/>
        <v>#N/A</v>
      </c>
      <c r="E364" s="5" cm="1">
        <f t="array" ref="E364">$E$4+(ROW(359:359)-1)*(($F$4-$E$4)/(COUNT($A$6:$A$446)-1))</f>
        <v>2013.5904090909091</v>
      </c>
      <c r="F364" s="5">
        <v>0</v>
      </c>
      <c r="G364" s="3">
        <v>0</v>
      </c>
      <c r="H364" s="3">
        <v>0</v>
      </c>
    </row>
    <row r="365" spans="1:8" x14ac:dyDescent="0.3">
      <c r="A365" s="3">
        <v>2011.75</v>
      </c>
      <c r="B365" s="3">
        <v>2.8694000000000002</v>
      </c>
      <c r="C365" s="3">
        <f t="shared" si="12"/>
        <v>2.8694000000000002</v>
      </c>
      <c r="D365" s="3" t="e">
        <f t="shared" si="13"/>
        <v>#N/A</v>
      </c>
      <c r="E365" s="5" cm="1">
        <f t="array" ref="E365">$E$4+(ROW(360:360)-1)*(($F$4-$E$4)/(COUNT($A$6:$A$446)-1))</f>
        <v>2013.6674772727274</v>
      </c>
      <c r="F365" s="5">
        <v>0</v>
      </c>
      <c r="G365" s="3">
        <v>0</v>
      </c>
      <c r="H365" s="3">
        <v>0</v>
      </c>
    </row>
    <row r="366" spans="1:8" x14ac:dyDescent="0.3">
      <c r="A366" s="3">
        <v>2011.77</v>
      </c>
      <c r="B366" s="3">
        <v>2.7816800000000002</v>
      </c>
      <c r="C366" s="3">
        <f t="shared" si="12"/>
        <v>2.7816800000000002</v>
      </c>
      <c r="D366" s="3" t="e">
        <f t="shared" si="13"/>
        <v>#N/A</v>
      </c>
      <c r="E366" s="5" cm="1">
        <f t="array" ref="E366">$E$4+(ROW(361:361)-1)*(($F$4-$E$4)/(COUNT($A$6:$A$446)-1))</f>
        <v>2013.7445454545455</v>
      </c>
      <c r="F366" s="5">
        <v>0</v>
      </c>
      <c r="G366" s="3">
        <v>0</v>
      </c>
      <c r="H366" s="3">
        <v>0</v>
      </c>
    </row>
    <row r="367" spans="1:8" x14ac:dyDescent="0.3">
      <c r="A367" s="3">
        <v>2011.78</v>
      </c>
      <c r="B367" s="3">
        <v>2.5185200000000001</v>
      </c>
      <c r="C367" s="3">
        <f t="shared" si="12"/>
        <v>2.5185200000000001</v>
      </c>
      <c r="D367" s="3" t="e">
        <f t="shared" si="13"/>
        <v>#N/A</v>
      </c>
      <c r="E367" s="5" cm="1">
        <f t="array" ref="E367">$E$4+(ROW(362:362)-1)*(($F$4-$E$4)/(COUNT($A$6:$A$446)-1))</f>
        <v>2013.8216136363637</v>
      </c>
      <c r="F367" s="5">
        <v>0</v>
      </c>
      <c r="G367" s="3">
        <v>0</v>
      </c>
      <c r="H367" s="3">
        <v>0</v>
      </c>
    </row>
    <row r="368" spans="1:8" x14ac:dyDescent="0.3">
      <c r="A368" s="3">
        <v>2011.78</v>
      </c>
      <c r="B368" s="3">
        <v>2.6062400000000001</v>
      </c>
      <c r="C368" s="3">
        <f t="shared" si="12"/>
        <v>2.6062400000000001</v>
      </c>
      <c r="D368" s="3" t="e">
        <f t="shared" si="13"/>
        <v>#N/A</v>
      </c>
      <c r="E368" s="5" cm="1">
        <f t="array" ref="E368">$E$4+(ROW(363:363)-1)*(($F$4-$E$4)/(COUNT($A$6:$A$446)-1))</f>
        <v>2013.8986818181818</v>
      </c>
      <c r="F368" s="5">
        <v>0</v>
      </c>
      <c r="G368" s="3">
        <v>0</v>
      </c>
      <c r="H368" s="3">
        <v>0</v>
      </c>
    </row>
    <row r="369" spans="1:8" x14ac:dyDescent="0.3">
      <c r="A369" s="3">
        <v>2011.79</v>
      </c>
      <c r="B369" s="3">
        <v>2.6939600000000001</v>
      </c>
      <c r="C369" s="3">
        <f t="shared" si="12"/>
        <v>2.6939600000000001</v>
      </c>
      <c r="D369" s="3" t="e">
        <f t="shared" si="13"/>
        <v>#N/A</v>
      </c>
      <c r="E369" s="5" cm="1">
        <f t="array" ref="E369">$E$4+(ROW(364:364)-1)*(($F$4-$E$4)/(COUNT($A$6:$A$446)-1))</f>
        <v>2013.9757500000001</v>
      </c>
      <c r="F369" s="5">
        <v>0</v>
      </c>
      <c r="G369" s="3">
        <v>0</v>
      </c>
      <c r="H369" s="3">
        <v>0</v>
      </c>
    </row>
    <row r="370" spans="1:8" x14ac:dyDescent="0.3">
      <c r="A370" s="3">
        <v>2011.8</v>
      </c>
      <c r="B370" s="3">
        <v>2.4308000000000001</v>
      </c>
      <c r="C370" s="3">
        <f t="shared" si="12"/>
        <v>2.4308000000000001</v>
      </c>
      <c r="D370" s="3" t="e">
        <f t="shared" si="13"/>
        <v>#N/A</v>
      </c>
      <c r="E370" s="5" cm="1">
        <f t="array" ref="E370">$E$4+(ROW(365:365)-1)*(($F$4-$E$4)/(COUNT($A$6:$A$446)-1))</f>
        <v>2014.0528181818183</v>
      </c>
      <c r="F370" s="5">
        <v>0</v>
      </c>
      <c r="G370" s="3">
        <v>0</v>
      </c>
      <c r="H370" s="3">
        <v>0</v>
      </c>
    </row>
    <row r="371" spans="1:8" x14ac:dyDescent="0.3">
      <c r="A371" s="3">
        <v>2011.9</v>
      </c>
      <c r="B371" s="3">
        <v>2.34552</v>
      </c>
      <c r="C371" s="3">
        <f t="shared" si="12"/>
        <v>2.34552</v>
      </c>
      <c r="D371" s="3" t="e">
        <f t="shared" si="13"/>
        <v>#N/A</v>
      </c>
      <c r="E371" s="5" cm="1">
        <f t="array" ref="E371">$E$4+(ROW(366:366)-1)*(($F$4-$E$4)/(COUNT($A$6:$A$446)-1))</f>
        <v>2014.1298863636364</v>
      </c>
      <c r="F371" s="5">
        <v>0</v>
      </c>
      <c r="G371" s="3">
        <v>0</v>
      </c>
      <c r="H371" s="3">
        <v>0</v>
      </c>
    </row>
    <row r="372" spans="1:8" x14ac:dyDescent="0.3">
      <c r="A372" s="3">
        <v>2011.94</v>
      </c>
      <c r="B372" s="3">
        <v>2.2578</v>
      </c>
      <c r="C372" s="3">
        <f t="shared" si="12"/>
        <v>2.2578</v>
      </c>
      <c r="D372" s="3" t="e">
        <f t="shared" si="13"/>
        <v>#N/A</v>
      </c>
      <c r="E372" s="5" cm="1">
        <f t="array" ref="E372">$E$4+(ROW(367:367)-1)*(($F$4-$E$4)/(COUNT($A$6:$A$446)-1))</f>
        <v>2014.2069545454547</v>
      </c>
      <c r="F372" s="5">
        <v>0</v>
      </c>
      <c r="G372" s="3">
        <v>0</v>
      </c>
      <c r="H372" s="3">
        <v>0</v>
      </c>
    </row>
    <row r="373" spans="1:8" x14ac:dyDescent="0.3">
      <c r="A373" s="3">
        <v>2012.05</v>
      </c>
      <c r="B373" s="3">
        <v>1.9056999999999999</v>
      </c>
      <c r="C373" s="3">
        <f t="shared" si="12"/>
        <v>1.9056999999999999</v>
      </c>
      <c r="D373" s="3" t="e">
        <f t="shared" si="13"/>
        <v>#N/A</v>
      </c>
      <c r="E373" s="5" cm="1">
        <f t="array" ref="E373">$E$4+(ROW(368:368)-1)*(($F$4-$E$4)/(COUNT($A$6:$A$446)-1))</f>
        <v>2014.2840227272727</v>
      </c>
      <c r="F373" s="5">
        <v>0</v>
      </c>
      <c r="G373" s="3">
        <v>0</v>
      </c>
      <c r="H373" s="3">
        <v>0</v>
      </c>
    </row>
    <row r="374" spans="1:8" x14ac:dyDescent="0.3">
      <c r="A374" s="3">
        <v>2012.12</v>
      </c>
      <c r="B374" s="3">
        <v>2.1786099999999999</v>
      </c>
      <c r="C374" s="3">
        <f t="shared" si="12"/>
        <v>2.1786099999999999</v>
      </c>
      <c r="D374" s="3" t="e">
        <f t="shared" si="13"/>
        <v>#N/A</v>
      </c>
      <c r="E374" s="5" cm="1">
        <f t="array" ref="E374">$E$4+(ROW(369:369)-1)*(($F$4-$E$4)/(COUNT($A$6:$A$446)-1))</f>
        <v>2014.361090909091</v>
      </c>
      <c r="F374" s="5">
        <v>0</v>
      </c>
      <c r="G374" s="3">
        <v>0</v>
      </c>
      <c r="H374" s="3">
        <v>0</v>
      </c>
    </row>
    <row r="375" spans="1:8" x14ac:dyDescent="0.3">
      <c r="A375" s="3">
        <v>2012.46</v>
      </c>
      <c r="B375" s="3">
        <v>1.9130100000000001</v>
      </c>
      <c r="C375" s="3">
        <f t="shared" si="12"/>
        <v>1.9130100000000001</v>
      </c>
      <c r="D375" s="3" t="e">
        <f t="shared" si="13"/>
        <v>#N/A</v>
      </c>
      <c r="E375" s="5" cm="1">
        <f t="array" ref="E375">$E$4+(ROW(370:370)-1)*(($F$4-$E$4)/(COUNT($A$6:$A$446)-1))</f>
        <v>2014.4381590909093</v>
      </c>
      <c r="F375" s="5">
        <v>0</v>
      </c>
      <c r="G375" s="3">
        <v>0</v>
      </c>
      <c r="H375" s="3">
        <v>0</v>
      </c>
    </row>
    <row r="376" spans="1:8" x14ac:dyDescent="0.3">
      <c r="A376" s="3">
        <v>2012.62</v>
      </c>
      <c r="B376" s="3">
        <v>1.5755399999999999</v>
      </c>
      <c r="C376" s="3">
        <f t="shared" si="12"/>
        <v>1.5755399999999999</v>
      </c>
      <c r="D376" s="3" t="e">
        <f t="shared" si="13"/>
        <v>#N/A</v>
      </c>
      <c r="E376" s="5" cm="1">
        <f t="array" ref="E376">$E$4+(ROW(371:371)-1)*(($F$4-$E$4)/(COUNT($A$6:$A$446)-1))</f>
        <v>2014.5152272727273</v>
      </c>
      <c r="F376" s="5">
        <v>0</v>
      </c>
      <c r="G376" s="3">
        <v>0</v>
      </c>
      <c r="H376" s="3">
        <v>0</v>
      </c>
    </row>
    <row r="377" spans="1:8" x14ac:dyDescent="0.3">
      <c r="A377" s="3">
        <v>2012.9</v>
      </c>
      <c r="B377" s="3">
        <v>1.5109600000000001</v>
      </c>
      <c r="C377" s="3">
        <f t="shared" si="12"/>
        <v>1.5109600000000001</v>
      </c>
      <c r="D377" s="3" t="e">
        <f t="shared" si="13"/>
        <v>#N/A</v>
      </c>
      <c r="E377" s="5" cm="1">
        <f t="array" ref="E377">$E$4+(ROW(372:372)-1)*(($F$4-$E$4)/(COUNT($A$6:$A$446)-1))</f>
        <v>2014.5922954545456</v>
      </c>
      <c r="F377" s="5">
        <v>0</v>
      </c>
      <c r="G377" s="3">
        <v>0</v>
      </c>
      <c r="H377" s="3">
        <v>0</v>
      </c>
    </row>
    <row r="378" spans="1:8" x14ac:dyDescent="0.3">
      <c r="A378" s="3">
        <v>2013.02</v>
      </c>
      <c r="B378" s="3">
        <v>1.7363500000000001</v>
      </c>
      <c r="C378" s="3">
        <f t="shared" si="12"/>
        <v>1.7363500000000001</v>
      </c>
      <c r="D378" s="3" t="e">
        <f t="shared" si="13"/>
        <v>#N/A</v>
      </c>
      <c r="E378" s="5" cm="1">
        <f t="array" ref="E378">$E$4+(ROW(373:373)-1)*(($F$4-$E$4)/(COUNT($A$6:$A$446)-1))</f>
        <v>2014.6693636363636</v>
      </c>
      <c r="F378" s="5">
        <v>0</v>
      </c>
      <c r="G378" s="3">
        <v>0</v>
      </c>
      <c r="H378" s="3">
        <v>0</v>
      </c>
    </row>
    <row r="379" spans="1:8" x14ac:dyDescent="0.3">
      <c r="A379" s="3">
        <v>2013.31</v>
      </c>
      <c r="B379" s="3">
        <v>1.7863100000000001</v>
      </c>
      <c r="C379" s="3">
        <f t="shared" si="12"/>
        <v>1.7863100000000001</v>
      </c>
      <c r="D379" s="3" t="e">
        <f t="shared" si="13"/>
        <v>#N/A</v>
      </c>
      <c r="E379" s="5" cm="1">
        <f t="array" ref="E379">$E$4+(ROW(374:374)-1)*(($F$4-$E$4)/(COUNT($A$6:$A$446)-1))</f>
        <v>2014.7464318181819</v>
      </c>
      <c r="F379" s="5">
        <v>0</v>
      </c>
      <c r="G379" s="3">
        <v>0</v>
      </c>
      <c r="H379" s="3">
        <v>0</v>
      </c>
    </row>
    <row r="380" spans="1:8" x14ac:dyDescent="0.3">
      <c r="A380" s="3">
        <v>2013.41</v>
      </c>
      <c r="B380" s="3">
        <v>1.8715900000000001</v>
      </c>
      <c r="C380" s="3">
        <f t="shared" si="12"/>
        <v>1.8715900000000001</v>
      </c>
      <c r="D380" s="3" t="e">
        <f t="shared" si="13"/>
        <v>#N/A</v>
      </c>
      <c r="E380" s="5" cm="1">
        <f t="array" ref="E380">$E$4+(ROW(375:375)-1)*(($F$4-$E$4)/(COUNT($A$6:$A$446)-1))</f>
        <v>2014.8235</v>
      </c>
      <c r="F380" s="5">
        <v>0</v>
      </c>
      <c r="G380" s="3">
        <v>0</v>
      </c>
      <c r="H380" s="3">
        <v>0</v>
      </c>
    </row>
    <row r="381" spans="1:8" x14ac:dyDescent="0.3">
      <c r="A381" s="3">
        <v>2013.43</v>
      </c>
      <c r="B381" s="3">
        <v>1.7521899999999999</v>
      </c>
      <c r="C381" s="3">
        <f t="shared" si="12"/>
        <v>1.7521899999999999</v>
      </c>
      <c r="D381" s="3" t="e">
        <f t="shared" si="13"/>
        <v>#N/A</v>
      </c>
      <c r="E381" s="5" cm="1">
        <f t="array" ref="E381">$E$4+(ROW(376:376)-1)*(($F$4-$E$4)/(COUNT($A$6:$A$446)-1))</f>
        <v>2014.9005681818182</v>
      </c>
      <c r="F381" s="5">
        <v>0</v>
      </c>
      <c r="G381" s="3">
        <v>0</v>
      </c>
      <c r="H381" s="3">
        <v>0</v>
      </c>
    </row>
    <row r="382" spans="1:8" x14ac:dyDescent="0.3">
      <c r="A382" s="3">
        <v>2013.48</v>
      </c>
      <c r="B382" s="3">
        <v>1.9580900000000001</v>
      </c>
      <c r="C382" s="3">
        <f t="shared" si="12"/>
        <v>1.9580900000000001</v>
      </c>
      <c r="D382" s="3" t="e">
        <f t="shared" si="13"/>
        <v>#N/A</v>
      </c>
      <c r="E382" s="5" cm="1">
        <f t="array" ref="E382">$E$4+(ROW(377:377)-1)*(($F$4-$E$4)/(COUNT($A$6:$A$446)-1))</f>
        <v>2014.9776363636365</v>
      </c>
      <c r="F382" s="5">
        <v>0</v>
      </c>
      <c r="G382" s="3">
        <v>0</v>
      </c>
      <c r="H382" s="3">
        <v>0</v>
      </c>
    </row>
    <row r="383" spans="1:8" x14ac:dyDescent="0.3">
      <c r="A383" s="3">
        <v>2013.56</v>
      </c>
      <c r="B383" s="3">
        <v>2.0433699999999999</v>
      </c>
      <c r="C383" s="3">
        <f t="shared" si="12"/>
        <v>2.0433699999999999</v>
      </c>
      <c r="D383" s="3" t="e">
        <f t="shared" si="13"/>
        <v>#N/A</v>
      </c>
      <c r="E383" s="5" cm="1">
        <f t="array" ref="E383">$E$4+(ROW(378:378)-1)*(($F$4-$E$4)/(COUNT($A$6:$A$446)-1))</f>
        <v>2015.0547045454546</v>
      </c>
      <c r="F383" s="5">
        <v>0</v>
      </c>
      <c r="G383" s="3">
        <v>0</v>
      </c>
      <c r="H383" s="3">
        <v>0</v>
      </c>
    </row>
    <row r="384" spans="1:8" x14ac:dyDescent="0.3">
      <c r="A384" s="3">
        <v>2013.61</v>
      </c>
      <c r="B384" s="3">
        <v>2.1298699999999999</v>
      </c>
      <c r="C384" s="3">
        <f t="shared" si="12"/>
        <v>2.1298699999999999</v>
      </c>
      <c r="D384" s="3" t="e">
        <f t="shared" si="13"/>
        <v>#N/A</v>
      </c>
      <c r="E384" s="5" cm="1">
        <f t="array" ref="E384">$E$4+(ROW(379:379)-1)*(($F$4-$E$4)/(COUNT($A$6:$A$446)-1))</f>
        <v>2015.1317727272728</v>
      </c>
      <c r="F384" s="5">
        <v>0</v>
      </c>
      <c r="G384" s="3">
        <v>0</v>
      </c>
      <c r="H384" s="3">
        <v>0</v>
      </c>
    </row>
    <row r="385" spans="1:8" x14ac:dyDescent="0.3">
      <c r="A385" s="3">
        <v>2013.63</v>
      </c>
      <c r="B385" s="3">
        <v>2.21759</v>
      </c>
      <c r="C385" s="3">
        <f t="shared" si="12"/>
        <v>2.21759</v>
      </c>
      <c r="D385" s="3" t="e">
        <f t="shared" si="13"/>
        <v>#N/A</v>
      </c>
      <c r="E385" s="5" cm="1">
        <f t="array" ref="E385">$E$4+(ROW(380:380)-1)*(($F$4-$E$4)/(COUNT($A$6:$A$446)-1))</f>
        <v>2015.2088409090909</v>
      </c>
      <c r="F385" s="5">
        <v>0</v>
      </c>
      <c r="G385" s="3">
        <v>0</v>
      </c>
      <c r="H385" s="3">
        <v>0</v>
      </c>
    </row>
    <row r="386" spans="1:8" x14ac:dyDescent="0.3">
      <c r="A386" s="3">
        <v>2013.64</v>
      </c>
      <c r="B386" s="3">
        <v>2.30531</v>
      </c>
      <c r="C386" s="3">
        <f t="shared" si="12"/>
        <v>2.30531</v>
      </c>
      <c r="D386" s="3" t="e">
        <f t="shared" si="13"/>
        <v>#N/A</v>
      </c>
      <c r="E386" s="5" cm="1">
        <f t="array" ref="E386">$E$4+(ROW(381:381)-1)*(($F$4-$E$4)/(COUNT($A$6:$A$446)-1))</f>
        <v>2015.2859090909092</v>
      </c>
      <c r="F386" s="5">
        <v>0</v>
      </c>
      <c r="G386" s="3">
        <v>0</v>
      </c>
      <c r="H386" s="3">
        <v>0</v>
      </c>
    </row>
    <row r="387" spans="1:8" x14ac:dyDescent="0.3">
      <c r="A387" s="3">
        <v>2013.69</v>
      </c>
      <c r="B387" s="3">
        <v>2.39303</v>
      </c>
      <c r="C387" s="3">
        <f t="shared" si="12"/>
        <v>2.39303</v>
      </c>
      <c r="D387" s="3" t="e">
        <f t="shared" si="13"/>
        <v>#N/A</v>
      </c>
      <c r="E387" s="5" cm="1">
        <f t="array" ref="E387">$E$4+(ROW(382:382)-1)*(($F$4-$E$4)/(COUNT($A$6:$A$446)-1))</f>
        <v>2015.3629772727274</v>
      </c>
      <c r="F387" s="5">
        <v>0</v>
      </c>
      <c r="G387" s="3">
        <v>0</v>
      </c>
      <c r="H387" s="3">
        <v>0</v>
      </c>
    </row>
    <row r="388" spans="1:8" x14ac:dyDescent="0.3">
      <c r="A388" s="3">
        <v>2013.8</v>
      </c>
      <c r="B388" s="3">
        <v>2.4771000000000001</v>
      </c>
      <c r="C388" s="3">
        <f t="shared" si="12"/>
        <v>2.4771000000000001</v>
      </c>
      <c r="D388" s="3" t="e">
        <f t="shared" si="13"/>
        <v>#N/A</v>
      </c>
      <c r="E388" s="5" cm="1">
        <f t="array" ref="E388">$E$4+(ROW(383:383)-1)*(($F$4-$E$4)/(COUNT($A$6:$A$446)-1))</f>
        <v>2015.4400454545455</v>
      </c>
      <c r="F388" s="5">
        <v>0</v>
      </c>
      <c r="G388" s="3">
        <v>0</v>
      </c>
      <c r="H388" s="3">
        <v>0</v>
      </c>
    </row>
    <row r="389" spans="1:8" x14ac:dyDescent="0.3">
      <c r="A389" s="3">
        <v>2013.96</v>
      </c>
      <c r="B389" s="3">
        <v>2.5575000000000001</v>
      </c>
      <c r="C389" s="3">
        <f t="shared" si="12"/>
        <v>2.5575000000000001</v>
      </c>
      <c r="D389" s="3" t="e">
        <f t="shared" si="13"/>
        <v>#N/A</v>
      </c>
      <c r="E389" s="5" cm="1">
        <f t="array" ref="E389">$E$4+(ROW(384:384)-1)*(($F$4-$E$4)/(COUNT($A$6:$A$446)-1))</f>
        <v>2015.5171136363638</v>
      </c>
      <c r="F389" s="5">
        <v>0</v>
      </c>
      <c r="G389" s="3">
        <v>0</v>
      </c>
      <c r="H389" s="3">
        <v>0</v>
      </c>
    </row>
    <row r="390" spans="1:8" x14ac:dyDescent="0.3">
      <c r="A390" s="3">
        <v>2014.17</v>
      </c>
      <c r="B390" s="3">
        <v>2.6330399999999998</v>
      </c>
      <c r="C390" s="3">
        <f t="shared" si="12"/>
        <v>2.6330399999999998</v>
      </c>
      <c r="D390" s="3" t="e">
        <f t="shared" si="13"/>
        <v>#N/A</v>
      </c>
      <c r="E390" s="5" cm="1">
        <f t="array" ref="E390">$E$4+(ROW(385:385)-1)*(($F$4-$E$4)/(COUNT($A$6:$A$446)-1))</f>
        <v>2015.5941818181818</v>
      </c>
      <c r="F390" s="5">
        <v>0</v>
      </c>
      <c r="G390" s="3">
        <v>0</v>
      </c>
      <c r="H390" s="3">
        <v>0</v>
      </c>
    </row>
    <row r="391" spans="1:8" x14ac:dyDescent="0.3">
      <c r="A391" s="3">
        <v>2014.56</v>
      </c>
      <c r="B391" s="3">
        <v>2.5964900000000002</v>
      </c>
      <c r="C391" s="3">
        <f t="shared" ref="C391:C446" si="14">IF(B391&gt;=$C$4,B391,$D$4)</f>
        <v>2.5964900000000002</v>
      </c>
      <c r="D391" s="3" t="e">
        <f t="shared" ref="D391:D445" si="15">IF(B391&lt;=$C$4,B391,$D$4)</f>
        <v>#N/A</v>
      </c>
      <c r="E391" s="5" cm="1">
        <f t="array" ref="E391">$E$4+(ROW(386:386)-1)*(($F$4-$E$4)/(COUNT($A$6:$A$446)-1))</f>
        <v>2015.6712500000001</v>
      </c>
      <c r="F391" s="5">
        <v>0</v>
      </c>
      <c r="G391" s="3">
        <v>0</v>
      </c>
      <c r="H391" s="3">
        <v>0</v>
      </c>
    </row>
    <row r="392" spans="1:8" x14ac:dyDescent="0.3">
      <c r="A392" s="3">
        <v>2014.71</v>
      </c>
      <c r="B392" s="3">
        <v>2.5209600000000001</v>
      </c>
      <c r="C392" s="3">
        <f t="shared" si="14"/>
        <v>2.5209600000000001</v>
      </c>
      <c r="D392" s="3" t="e">
        <f t="shared" si="15"/>
        <v>#N/A</v>
      </c>
      <c r="E392" s="5" cm="1">
        <f t="array" ref="E392">$E$4+(ROW(387:387)-1)*(($F$4-$E$4)/(COUNT($A$6:$A$446)-1))</f>
        <v>2015.7483181818181</v>
      </c>
      <c r="F392" s="5">
        <v>0</v>
      </c>
      <c r="G392" s="3">
        <v>0</v>
      </c>
      <c r="H392" s="3">
        <v>0</v>
      </c>
    </row>
    <row r="393" spans="1:8" x14ac:dyDescent="0.3">
      <c r="A393" s="3">
        <v>2014.78</v>
      </c>
      <c r="B393" s="3">
        <v>2.4320200000000001</v>
      </c>
      <c r="C393" s="3">
        <f t="shared" si="14"/>
        <v>2.4320200000000001</v>
      </c>
      <c r="D393" s="3" t="e">
        <f t="shared" si="15"/>
        <v>#N/A</v>
      </c>
      <c r="E393" s="5" cm="1">
        <f t="array" ref="E393">$E$4+(ROW(388:388)-1)*(($F$4-$E$4)/(COUNT($A$6:$A$446)-1))</f>
        <v>2015.8253863636364</v>
      </c>
      <c r="F393" s="5">
        <v>0</v>
      </c>
      <c r="G393" s="3">
        <v>0</v>
      </c>
      <c r="H393" s="3">
        <v>0</v>
      </c>
    </row>
    <row r="394" spans="1:8" x14ac:dyDescent="0.3">
      <c r="A394" s="3">
        <v>2014.9</v>
      </c>
      <c r="B394" s="3">
        <v>2.34917</v>
      </c>
      <c r="C394" s="3">
        <f t="shared" si="14"/>
        <v>2.34917</v>
      </c>
      <c r="D394" s="3" t="e">
        <f t="shared" si="15"/>
        <v>#N/A</v>
      </c>
      <c r="E394" s="5" cm="1">
        <f t="array" ref="E394">$E$4+(ROW(389:389)-1)*(($F$4-$E$4)/(COUNT($A$6:$A$446)-1))</f>
        <v>2015.9024545454547</v>
      </c>
      <c r="F394" s="5">
        <v>0</v>
      </c>
      <c r="G394" s="3">
        <v>0</v>
      </c>
      <c r="H394" s="3">
        <v>0</v>
      </c>
    </row>
    <row r="395" spans="1:8" x14ac:dyDescent="0.3">
      <c r="A395" s="3">
        <v>2015.07</v>
      </c>
      <c r="B395" s="3">
        <v>2.2687599999999999</v>
      </c>
      <c r="C395" s="3">
        <f t="shared" si="14"/>
        <v>2.2687599999999999</v>
      </c>
      <c r="D395" s="3" t="e">
        <f t="shared" si="15"/>
        <v>#N/A</v>
      </c>
      <c r="E395" s="5" cm="1">
        <f t="array" ref="E395">$E$4+(ROW(390:390)-1)*(($F$4-$E$4)/(COUNT($A$6:$A$446)-1))</f>
        <v>2015.9795227272728</v>
      </c>
      <c r="F395" s="5">
        <v>0</v>
      </c>
      <c r="G395" s="3">
        <v>0</v>
      </c>
      <c r="H395" s="3">
        <v>0</v>
      </c>
    </row>
    <row r="396" spans="1:8" x14ac:dyDescent="0.3">
      <c r="A396" s="3">
        <v>2015.28</v>
      </c>
      <c r="B396" s="3">
        <v>2.1944400000000002</v>
      </c>
      <c r="C396" s="3">
        <f t="shared" si="14"/>
        <v>2.1944400000000002</v>
      </c>
      <c r="D396" s="3" t="e">
        <f t="shared" si="15"/>
        <v>#N/A</v>
      </c>
      <c r="E396" s="5" cm="1">
        <f t="array" ref="E396">$E$4+(ROW(391:391)-1)*(($F$4-$E$4)/(COUNT($A$6:$A$446)-1))</f>
        <v>2016.056590909091</v>
      </c>
      <c r="F396" s="5">
        <v>0</v>
      </c>
      <c r="G396" s="3">
        <v>0</v>
      </c>
      <c r="H396" s="3">
        <v>0</v>
      </c>
    </row>
    <row r="397" spans="1:8" x14ac:dyDescent="0.3">
      <c r="A397" s="3">
        <v>2015.42</v>
      </c>
      <c r="B397" s="3">
        <v>2.1128200000000001</v>
      </c>
      <c r="C397" s="3">
        <f t="shared" si="14"/>
        <v>2.1128200000000001</v>
      </c>
      <c r="D397" s="3" t="e">
        <f t="shared" si="15"/>
        <v>#N/A</v>
      </c>
      <c r="E397" s="5" cm="1">
        <f t="array" ref="E397">$E$4+(ROW(392:392)-1)*(($F$4-$E$4)/(COUNT($A$6:$A$446)-1))</f>
        <v>2016.1336590909091</v>
      </c>
      <c r="F397" s="5">
        <v>0</v>
      </c>
      <c r="G397" s="3">
        <v>0</v>
      </c>
      <c r="H397" s="3">
        <v>0</v>
      </c>
    </row>
    <row r="398" spans="1:8" x14ac:dyDescent="0.3">
      <c r="A398" s="3">
        <v>2015.7</v>
      </c>
      <c r="B398" s="3">
        <v>2.1018500000000002</v>
      </c>
      <c r="C398" s="3">
        <f t="shared" si="14"/>
        <v>2.1018500000000002</v>
      </c>
      <c r="D398" s="3" t="e">
        <f t="shared" si="15"/>
        <v>#N/A</v>
      </c>
      <c r="E398" s="5" cm="1">
        <f t="array" ref="E398">$E$4+(ROW(393:393)-1)*(($F$4-$E$4)/(COUNT($A$6:$A$446)-1))</f>
        <v>2016.2107272727274</v>
      </c>
      <c r="F398" s="5">
        <v>0</v>
      </c>
      <c r="G398" s="3">
        <v>0</v>
      </c>
      <c r="H398" s="3">
        <v>0</v>
      </c>
    </row>
    <row r="399" spans="1:8" x14ac:dyDescent="0.3">
      <c r="A399" s="3">
        <v>2015.75</v>
      </c>
      <c r="B399" s="3">
        <v>2.0153500000000002</v>
      </c>
      <c r="C399" s="3">
        <f t="shared" si="14"/>
        <v>2.0153500000000002</v>
      </c>
      <c r="D399" s="3" t="e">
        <f t="shared" si="15"/>
        <v>#N/A</v>
      </c>
      <c r="E399" s="5" cm="1">
        <f t="array" ref="E399">$E$4+(ROW(394:394)-1)*(($F$4-$E$4)/(COUNT($A$6:$A$446)-1))</f>
        <v>2016.2877954545456</v>
      </c>
      <c r="F399" s="5">
        <v>0</v>
      </c>
      <c r="G399" s="3">
        <v>0</v>
      </c>
      <c r="H399" s="3">
        <v>0</v>
      </c>
    </row>
    <row r="400" spans="1:8" x14ac:dyDescent="0.3">
      <c r="A400" s="3">
        <v>2015.93</v>
      </c>
      <c r="B400" s="3">
        <v>2.0104799999999998</v>
      </c>
      <c r="C400" s="3">
        <f t="shared" si="14"/>
        <v>2.0104799999999998</v>
      </c>
      <c r="D400" s="3" t="e">
        <f t="shared" si="15"/>
        <v>#N/A</v>
      </c>
      <c r="E400" s="5" cm="1">
        <f t="array" ref="E400">$E$4+(ROW(395:395)-1)*(($F$4-$E$4)/(COUNT($A$6:$A$446)-1))</f>
        <v>2016.3648636363637</v>
      </c>
      <c r="F400" s="5">
        <v>0</v>
      </c>
      <c r="G400" s="3">
        <v>0</v>
      </c>
      <c r="H400" s="3">
        <v>0</v>
      </c>
    </row>
    <row r="401" spans="1:8" x14ac:dyDescent="0.3">
      <c r="A401" s="3">
        <v>2016.13</v>
      </c>
      <c r="B401" s="3">
        <v>1.9337200000000001</v>
      </c>
      <c r="C401" s="3">
        <f t="shared" si="14"/>
        <v>1.9337200000000001</v>
      </c>
      <c r="D401" s="3" t="e">
        <f t="shared" si="15"/>
        <v>#N/A</v>
      </c>
      <c r="E401" s="5" cm="1">
        <f t="array" ref="E401">$E$4+(ROW(396:396)-1)*(($F$4-$E$4)/(COUNT($A$6:$A$446)-1))</f>
        <v>2016.441931818182</v>
      </c>
      <c r="F401" s="5">
        <v>0</v>
      </c>
      <c r="G401" s="3">
        <v>0</v>
      </c>
      <c r="H401" s="3">
        <v>0</v>
      </c>
    </row>
    <row r="402" spans="1:8" x14ac:dyDescent="0.3">
      <c r="A402" s="3">
        <v>2016.17</v>
      </c>
      <c r="B402" s="3">
        <v>1.8472200000000001</v>
      </c>
      <c r="C402" s="3">
        <f t="shared" si="14"/>
        <v>1.8472200000000001</v>
      </c>
      <c r="D402" s="3" t="e">
        <f t="shared" si="15"/>
        <v>#N/A</v>
      </c>
      <c r="E402" s="5" cm="1">
        <f t="array" ref="E402">$E$4+(ROW(397:397)-1)*(($F$4-$E$4)/(COUNT($A$6:$A$446)-1))</f>
        <v>2016.519</v>
      </c>
      <c r="F402" s="5">
        <v>0</v>
      </c>
      <c r="G402" s="3">
        <v>0</v>
      </c>
      <c r="H402" s="3">
        <v>0</v>
      </c>
    </row>
    <row r="403" spans="1:8" x14ac:dyDescent="0.3">
      <c r="A403" s="3">
        <v>2016.19</v>
      </c>
      <c r="B403" s="3">
        <v>1.7595000000000001</v>
      </c>
      <c r="C403" s="3">
        <f t="shared" si="14"/>
        <v>1.7595000000000001</v>
      </c>
      <c r="D403" s="3" t="e">
        <f t="shared" si="15"/>
        <v>#N/A</v>
      </c>
      <c r="E403" s="5" cm="1">
        <f t="array" ref="E403">$E$4+(ROW(398:398)-1)*(($F$4-$E$4)/(COUNT($A$6:$A$446)-1))</f>
        <v>2016.5960681818183</v>
      </c>
      <c r="F403" s="5">
        <v>0</v>
      </c>
      <c r="G403" s="3">
        <v>0</v>
      </c>
      <c r="H403" s="3">
        <v>0</v>
      </c>
    </row>
    <row r="404" spans="1:8" x14ac:dyDescent="0.3">
      <c r="A404" s="3">
        <v>2016.3</v>
      </c>
      <c r="B404" s="3">
        <v>1.67544</v>
      </c>
      <c r="C404" s="3">
        <f t="shared" si="14"/>
        <v>1.67544</v>
      </c>
      <c r="D404" s="3" t="e">
        <f t="shared" si="15"/>
        <v>#N/A</v>
      </c>
      <c r="E404" s="5" cm="1">
        <f t="array" ref="E404">$E$4+(ROW(399:399)-1)*(($F$4-$E$4)/(COUNT($A$6:$A$446)-1))</f>
        <v>2016.6731363636363</v>
      </c>
      <c r="F404" s="5">
        <v>0</v>
      </c>
      <c r="G404" s="3">
        <v>0</v>
      </c>
      <c r="H404" s="3">
        <v>0</v>
      </c>
    </row>
    <row r="405" spans="1:8" x14ac:dyDescent="0.3">
      <c r="A405" s="3">
        <v>2016.38</v>
      </c>
      <c r="B405" s="3">
        <v>1.43543</v>
      </c>
      <c r="C405" s="3">
        <f t="shared" si="14"/>
        <v>1.43543</v>
      </c>
      <c r="D405" s="3" t="e">
        <f t="shared" si="15"/>
        <v>#N/A</v>
      </c>
      <c r="E405" s="5" cm="1">
        <f t="array" ref="E405">$E$4+(ROW(400:400)-1)*(($F$4-$E$4)/(COUNT($A$6:$A$446)-1))</f>
        <v>2016.7502045454546</v>
      </c>
      <c r="F405" s="5">
        <v>0</v>
      </c>
      <c r="G405" s="3">
        <v>0</v>
      </c>
      <c r="H405" s="3">
        <v>0</v>
      </c>
    </row>
    <row r="406" spans="1:8" x14ac:dyDescent="0.3">
      <c r="A406" s="3">
        <v>2016.39</v>
      </c>
      <c r="B406" s="3">
        <v>1.59016</v>
      </c>
      <c r="C406" s="3">
        <f t="shared" si="14"/>
        <v>1.59016</v>
      </c>
      <c r="D406" s="3" t="e">
        <f t="shared" si="15"/>
        <v>#N/A</v>
      </c>
      <c r="E406" s="5" cm="1">
        <f t="array" ref="E406">$E$4+(ROW(401:401)-1)*(($F$4-$E$4)/(COUNT($A$6:$A$446)-1))</f>
        <v>2016.8272727272729</v>
      </c>
      <c r="F406" s="5">
        <v>0</v>
      </c>
      <c r="G406" s="3">
        <v>0</v>
      </c>
      <c r="H406" s="3">
        <v>0</v>
      </c>
    </row>
    <row r="407" spans="1:8" x14ac:dyDescent="0.3">
      <c r="A407" s="3">
        <v>2016.41</v>
      </c>
      <c r="B407" s="3">
        <v>1.50244</v>
      </c>
      <c r="C407" s="3">
        <f t="shared" si="14"/>
        <v>1.50244</v>
      </c>
      <c r="D407" s="3" t="e">
        <f t="shared" si="15"/>
        <v>#N/A</v>
      </c>
      <c r="E407" s="5" cm="1">
        <f t="array" ref="E407">$E$4+(ROW(402:402)-1)*(($F$4-$E$4)/(COUNT($A$6:$A$446)-1))</f>
        <v>2016.9043409090909</v>
      </c>
      <c r="F407" s="5">
        <v>0</v>
      </c>
      <c r="G407" s="3">
        <v>0</v>
      </c>
      <c r="H407" s="3">
        <v>0</v>
      </c>
    </row>
    <row r="408" spans="1:8" x14ac:dyDescent="0.3">
      <c r="A408" s="3">
        <v>2016.58</v>
      </c>
      <c r="B408" s="3">
        <v>1.4220299999999999</v>
      </c>
      <c r="C408" s="3">
        <f t="shared" si="14"/>
        <v>1.4220299999999999</v>
      </c>
      <c r="D408" s="3" t="e">
        <f t="shared" si="15"/>
        <v>#N/A</v>
      </c>
      <c r="E408" s="5" cm="1">
        <f t="array" ref="E408">$E$4+(ROW(403:403)-1)*(($F$4-$E$4)/(COUNT($A$6:$A$446)-1))</f>
        <v>2016.9814090909092</v>
      </c>
      <c r="F408" s="5">
        <v>0</v>
      </c>
      <c r="G408" s="3">
        <v>0</v>
      </c>
      <c r="H408" s="3">
        <v>0</v>
      </c>
    </row>
    <row r="409" spans="1:8" x14ac:dyDescent="0.3">
      <c r="A409" s="3">
        <v>2016.58</v>
      </c>
      <c r="B409" s="3">
        <v>1.4488300000000001</v>
      </c>
      <c r="C409" s="3">
        <f t="shared" si="14"/>
        <v>1.4488300000000001</v>
      </c>
      <c r="D409" s="3" t="e">
        <f t="shared" si="15"/>
        <v>#N/A</v>
      </c>
      <c r="E409" s="5" cm="1">
        <f t="array" ref="E409">$E$4+(ROW(404:404)-1)*(($F$4-$E$4)/(COUNT($A$6:$A$446)-1))</f>
        <v>2017.0584772727273</v>
      </c>
      <c r="F409" s="5">
        <v>0</v>
      </c>
      <c r="G409" s="3">
        <v>0</v>
      </c>
      <c r="H409" s="3">
        <v>0</v>
      </c>
    </row>
    <row r="410" spans="1:8" x14ac:dyDescent="0.3">
      <c r="A410" s="3">
        <v>2016.61</v>
      </c>
      <c r="B410" s="3">
        <v>1.1064799999999999</v>
      </c>
      <c r="C410" s="3">
        <f t="shared" si="14"/>
        <v>1.1064799999999999</v>
      </c>
      <c r="D410" s="3" t="e">
        <f t="shared" si="15"/>
        <v>#N/A</v>
      </c>
      <c r="E410" s="5" cm="1">
        <f t="array" ref="E410">$E$4+(ROW(405:405)-1)*(($F$4-$E$4)/(COUNT($A$6:$A$446)-1))</f>
        <v>2017.1355454545455</v>
      </c>
      <c r="F410" s="5">
        <v>0</v>
      </c>
      <c r="G410" s="3">
        <v>0</v>
      </c>
      <c r="H410" s="3">
        <v>0</v>
      </c>
    </row>
    <row r="411" spans="1:8" x14ac:dyDescent="0.3">
      <c r="A411" s="3">
        <v>2016.68</v>
      </c>
      <c r="B411" s="3">
        <v>1.1929799999999999</v>
      </c>
      <c r="C411" s="3">
        <f t="shared" si="14"/>
        <v>1.1929799999999999</v>
      </c>
      <c r="D411" s="3" t="e">
        <f t="shared" si="15"/>
        <v>#N/A</v>
      </c>
      <c r="E411" s="5" cm="1">
        <f t="array" ref="E411">$E$4+(ROW(406:406)-1)*(($F$4-$E$4)/(COUNT($A$6:$A$446)-1))</f>
        <v>2017.2126136363638</v>
      </c>
      <c r="F411" s="5">
        <v>0</v>
      </c>
      <c r="G411" s="3">
        <v>0</v>
      </c>
      <c r="H411" s="3">
        <v>0</v>
      </c>
    </row>
    <row r="412" spans="1:8" x14ac:dyDescent="0.3">
      <c r="A412" s="3">
        <v>2016.72</v>
      </c>
      <c r="B412" s="3">
        <v>1.2806999999999999</v>
      </c>
      <c r="C412" s="3">
        <f t="shared" si="14"/>
        <v>1.2806999999999999</v>
      </c>
      <c r="D412" s="3" t="e">
        <f t="shared" si="15"/>
        <v>#N/A</v>
      </c>
      <c r="E412" s="5" cm="1">
        <f t="array" ref="E412">$E$4+(ROW(407:407)-1)*(($F$4-$E$4)/(COUNT($A$6:$A$446)-1))</f>
        <v>2017.2896818181819</v>
      </c>
      <c r="F412" s="5">
        <v>0</v>
      </c>
      <c r="G412" s="3">
        <v>0</v>
      </c>
      <c r="H412" s="3">
        <v>0</v>
      </c>
    </row>
    <row r="413" spans="1:8" x14ac:dyDescent="0.3">
      <c r="A413" s="3">
        <v>2016.74</v>
      </c>
      <c r="B413" s="3">
        <v>1.36842</v>
      </c>
      <c r="C413" s="3">
        <f t="shared" si="14"/>
        <v>1.36842</v>
      </c>
      <c r="D413" s="3" t="e">
        <f t="shared" si="15"/>
        <v>#N/A</v>
      </c>
      <c r="E413" s="5" cm="1">
        <f t="array" ref="E413">$E$4+(ROW(408:408)-1)*(($F$4-$E$4)/(COUNT($A$6:$A$446)-1))</f>
        <v>2017.3667500000001</v>
      </c>
      <c r="F413" s="5">
        <v>0</v>
      </c>
      <c r="G413" s="3">
        <v>0</v>
      </c>
      <c r="H413" s="3">
        <v>0</v>
      </c>
    </row>
    <row r="414" spans="1:8" x14ac:dyDescent="0.3">
      <c r="A414" s="3">
        <v>2016.79</v>
      </c>
      <c r="B414" s="3">
        <v>1.4269000000000001</v>
      </c>
      <c r="C414" s="3">
        <f t="shared" si="14"/>
        <v>1.4269000000000001</v>
      </c>
      <c r="D414" s="3" t="e">
        <f t="shared" si="15"/>
        <v>#N/A</v>
      </c>
      <c r="E414" s="5" cm="1">
        <f t="array" ref="E414">$E$4+(ROW(409:409)-1)*(($F$4-$E$4)/(COUNT($A$6:$A$446)-1))</f>
        <v>2017.4438181818182</v>
      </c>
      <c r="F414" s="5">
        <v>0</v>
      </c>
      <c r="G414" s="3">
        <v>0</v>
      </c>
      <c r="H414" s="3">
        <v>0</v>
      </c>
    </row>
    <row r="415" spans="1:8" x14ac:dyDescent="0.3">
      <c r="A415" s="3">
        <v>2017.08</v>
      </c>
      <c r="B415" s="3">
        <v>1.47685</v>
      </c>
      <c r="C415" s="3">
        <f t="shared" si="14"/>
        <v>1.47685</v>
      </c>
      <c r="D415" s="3" t="e">
        <f t="shared" si="15"/>
        <v>#N/A</v>
      </c>
      <c r="E415" s="5" cm="1">
        <f t="array" ref="E415">$E$4+(ROW(410:410)-1)*(($F$4-$E$4)/(COUNT($A$6:$A$446)-1))</f>
        <v>2017.5208863636365</v>
      </c>
      <c r="F415" s="5">
        <v>0</v>
      </c>
      <c r="G415" s="3">
        <v>0</v>
      </c>
      <c r="H415" s="3">
        <v>0</v>
      </c>
    </row>
    <row r="416" spans="1:8" x14ac:dyDescent="0.3">
      <c r="A416" s="3">
        <v>2017.17</v>
      </c>
      <c r="B416" s="3">
        <v>2.0043899999999999</v>
      </c>
      <c r="C416" s="3">
        <f t="shared" si="14"/>
        <v>2.0043899999999999</v>
      </c>
      <c r="D416" s="3" t="e">
        <f t="shared" si="15"/>
        <v>#N/A</v>
      </c>
      <c r="E416" s="5" cm="1">
        <f t="array" ref="E416">$E$4+(ROW(411:411)-1)*(($F$4-$E$4)/(COUNT($A$6:$A$446)-1))</f>
        <v>2017.5979545454545</v>
      </c>
      <c r="F416" s="5">
        <v>0</v>
      </c>
      <c r="G416" s="3">
        <v>0</v>
      </c>
      <c r="H416" s="3">
        <v>0</v>
      </c>
    </row>
    <row r="417" spans="1:8" x14ac:dyDescent="0.3">
      <c r="A417" s="3">
        <v>2017.2</v>
      </c>
      <c r="B417" s="3">
        <v>1.9166700000000001</v>
      </c>
      <c r="C417" s="3">
        <f t="shared" si="14"/>
        <v>1.9166700000000001</v>
      </c>
      <c r="D417" s="3" t="e">
        <f t="shared" si="15"/>
        <v>#N/A</v>
      </c>
      <c r="E417" s="5" cm="1">
        <f t="array" ref="E417">$E$4+(ROW(412:412)-1)*(($F$4-$E$4)/(COUNT($A$6:$A$446)-1))</f>
        <v>2017.6750227272728</v>
      </c>
      <c r="F417" s="5">
        <v>0</v>
      </c>
      <c r="G417" s="3">
        <v>0</v>
      </c>
      <c r="H417" s="3">
        <v>0</v>
      </c>
    </row>
    <row r="418" spans="1:8" x14ac:dyDescent="0.3">
      <c r="A418" s="3">
        <v>2017.22</v>
      </c>
      <c r="B418" s="3">
        <v>1.8289500000000001</v>
      </c>
      <c r="C418" s="3">
        <f t="shared" si="14"/>
        <v>1.8289500000000001</v>
      </c>
      <c r="D418" s="3" t="e">
        <f t="shared" si="15"/>
        <v>#N/A</v>
      </c>
      <c r="E418" s="5" cm="1">
        <f t="array" ref="E418">$E$4+(ROW(413:413)-1)*(($F$4-$E$4)/(COUNT($A$6:$A$446)-1))</f>
        <v>2017.7520909090911</v>
      </c>
      <c r="F418" s="5">
        <v>0</v>
      </c>
      <c r="G418" s="3">
        <v>0</v>
      </c>
      <c r="H418" s="3">
        <v>0</v>
      </c>
    </row>
    <row r="419" spans="1:8" x14ac:dyDescent="0.3">
      <c r="A419" s="3">
        <v>2017.23</v>
      </c>
      <c r="B419" s="3">
        <v>1.5597000000000001</v>
      </c>
      <c r="C419" s="3">
        <f t="shared" si="14"/>
        <v>1.5597000000000001</v>
      </c>
      <c r="D419" s="3" t="e">
        <f t="shared" si="15"/>
        <v>#N/A</v>
      </c>
      <c r="E419" s="5" cm="1">
        <f t="array" ref="E419">$E$4+(ROW(414:414)-1)*(($F$4-$E$4)/(COUNT($A$6:$A$446)-1))</f>
        <v>2017.8291590909091</v>
      </c>
      <c r="F419" s="5">
        <v>0</v>
      </c>
      <c r="G419" s="3">
        <v>0</v>
      </c>
      <c r="H419" s="3">
        <v>0</v>
      </c>
    </row>
    <row r="420" spans="1:8" x14ac:dyDescent="0.3">
      <c r="A420" s="3">
        <v>2017.24</v>
      </c>
      <c r="B420" s="3">
        <v>1.7412300000000001</v>
      </c>
      <c r="C420" s="3">
        <f t="shared" si="14"/>
        <v>1.7412300000000001</v>
      </c>
      <c r="D420" s="3" t="e">
        <f t="shared" si="15"/>
        <v>#N/A</v>
      </c>
      <c r="E420" s="5" cm="1">
        <f t="array" ref="E420">$E$4+(ROW(415:415)-1)*(($F$4-$E$4)/(COUNT($A$6:$A$446)-1))</f>
        <v>2017.9062272727274</v>
      </c>
      <c r="F420" s="5">
        <v>0</v>
      </c>
      <c r="G420" s="3">
        <v>0</v>
      </c>
      <c r="H420" s="3">
        <v>0</v>
      </c>
    </row>
    <row r="421" spans="1:8" x14ac:dyDescent="0.3">
      <c r="A421" s="3">
        <v>2017.26</v>
      </c>
      <c r="B421" s="3">
        <v>1.65107</v>
      </c>
      <c r="C421" s="3">
        <f t="shared" si="14"/>
        <v>1.65107</v>
      </c>
      <c r="D421" s="3" t="e">
        <f t="shared" si="15"/>
        <v>#N/A</v>
      </c>
      <c r="E421" s="5" cm="1">
        <f t="array" ref="E421">$E$4+(ROW(416:416)-1)*(($F$4-$E$4)/(COUNT($A$6:$A$446)-1))</f>
        <v>2017.9832954545454</v>
      </c>
      <c r="F421" s="5">
        <v>0</v>
      </c>
      <c r="G421" s="3">
        <v>0</v>
      </c>
      <c r="H421" s="3">
        <v>0</v>
      </c>
    </row>
    <row r="422" spans="1:8" x14ac:dyDescent="0.3">
      <c r="A422" s="3">
        <v>2017.7</v>
      </c>
      <c r="B422" s="3">
        <v>1.2478100000000001</v>
      </c>
      <c r="C422" s="3">
        <f t="shared" si="14"/>
        <v>1.2478100000000001</v>
      </c>
      <c r="D422" s="3" t="e">
        <f t="shared" si="15"/>
        <v>#N/A</v>
      </c>
      <c r="E422" s="5" cm="1">
        <f t="array" ref="E422">$E$4+(ROW(417:417)-1)*(($F$4-$E$4)/(COUNT($A$6:$A$446)-1))</f>
        <v>2018.0603636363637</v>
      </c>
      <c r="F422" s="5">
        <v>0</v>
      </c>
      <c r="G422" s="3">
        <v>0</v>
      </c>
      <c r="H422" s="3">
        <v>0</v>
      </c>
    </row>
    <row r="423" spans="1:8" x14ac:dyDescent="0.3">
      <c r="A423" s="3">
        <v>2017.98</v>
      </c>
      <c r="B423" s="3">
        <v>1.1174500000000001</v>
      </c>
      <c r="C423" s="3">
        <f t="shared" si="14"/>
        <v>1.1174500000000001</v>
      </c>
      <c r="D423" s="3" t="e">
        <f t="shared" si="15"/>
        <v>#N/A</v>
      </c>
      <c r="E423" s="5" cm="1">
        <f t="array" ref="E423">$E$4+(ROW(418:418)-1)*(($F$4-$E$4)/(COUNT($A$6:$A$446)-1))</f>
        <v>2018.137431818182</v>
      </c>
      <c r="F423" s="5">
        <v>0</v>
      </c>
      <c r="G423" s="3">
        <v>0</v>
      </c>
      <c r="H423" s="3">
        <v>0</v>
      </c>
    </row>
    <row r="424" spans="1:8" x14ac:dyDescent="0.3">
      <c r="A424" s="3">
        <v>2018.11</v>
      </c>
      <c r="B424" s="3">
        <v>1.2392799999999999</v>
      </c>
      <c r="C424" s="3">
        <f t="shared" si="14"/>
        <v>1.2392799999999999</v>
      </c>
      <c r="D424" s="3" t="e">
        <f t="shared" si="15"/>
        <v>#N/A</v>
      </c>
      <c r="E424" s="5" cm="1">
        <f t="array" ref="E424">$E$4+(ROW(419:419)-1)*(($F$4-$E$4)/(COUNT($A$6:$A$446)-1))</f>
        <v>2018.2145</v>
      </c>
      <c r="F424" s="5">
        <v>0</v>
      </c>
      <c r="G424" s="3">
        <v>0</v>
      </c>
      <c r="H424" s="3">
        <v>0</v>
      </c>
    </row>
    <row r="425" spans="1:8" x14ac:dyDescent="0.3">
      <c r="A425" s="3">
        <v>2018.23</v>
      </c>
      <c r="B425" s="3">
        <v>1.04922</v>
      </c>
      <c r="C425" s="3">
        <f t="shared" si="14"/>
        <v>1.04922</v>
      </c>
      <c r="D425" s="3" t="e">
        <f t="shared" si="15"/>
        <v>#N/A</v>
      </c>
      <c r="E425" s="5" cm="1">
        <f t="array" ref="E425">$E$4+(ROW(420:420)-1)*(($F$4-$E$4)/(COUNT($A$6:$A$446)-1))</f>
        <v>2018.2915681818183</v>
      </c>
      <c r="F425" s="5">
        <v>0</v>
      </c>
      <c r="G425" s="3">
        <v>0</v>
      </c>
      <c r="H425" s="3">
        <v>0</v>
      </c>
    </row>
    <row r="426" spans="1:8" x14ac:dyDescent="0.3">
      <c r="A426" s="3">
        <v>2018.5</v>
      </c>
      <c r="B426" s="3">
        <v>0.98343100000000006</v>
      </c>
      <c r="C426" s="3">
        <f t="shared" si="14"/>
        <v>0.98343100000000006</v>
      </c>
      <c r="D426" s="3" t="e">
        <f t="shared" si="15"/>
        <v>#N/A</v>
      </c>
      <c r="E426" s="5" cm="1">
        <f t="array" ref="E426">$E$4+(ROW(421:421)-1)*(($F$4-$E$4)/(COUNT($A$6:$A$446)-1))</f>
        <v>2018.3686363636364</v>
      </c>
      <c r="F426" s="5">
        <v>0</v>
      </c>
      <c r="G426" s="3">
        <v>0</v>
      </c>
      <c r="H426" s="3">
        <v>0</v>
      </c>
    </row>
    <row r="427" spans="1:8" x14ac:dyDescent="0.3">
      <c r="A427" s="3">
        <v>2018.74</v>
      </c>
      <c r="B427" s="3">
        <v>0.91398599999999997</v>
      </c>
      <c r="C427" s="3">
        <f t="shared" si="14"/>
        <v>0.91398599999999997</v>
      </c>
      <c r="D427" s="3" t="e">
        <f t="shared" si="15"/>
        <v>#N/A</v>
      </c>
      <c r="E427" s="5" cm="1">
        <f t="array" ref="E427">$E$4+(ROW(422:422)-1)*(($F$4-$E$4)/(COUNT($A$6:$A$446)-1))</f>
        <v>2018.4457045454546</v>
      </c>
      <c r="F427" s="5">
        <v>0</v>
      </c>
      <c r="G427" s="3">
        <v>0</v>
      </c>
      <c r="H427" s="3">
        <v>0</v>
      </c>
    </row>
    <row r="428" spans="1:8" x14ac:dyDescent="0.3">
      <c r="A428" s="3">
        <v>2018.84</v>
      </c>
      <c r="B428" s="3">
        <v>0.83113999999999999</v>
      </c>
      <c r="C428" s="3">
        <f t="shared" si="14"/>
        <v>0.83113999999999999</v>
      </c>
      <c r="D428" s="3" t="e">
        <f t="shared" si="15"/>
        <v>#N/A</v>
      </c>
      <c r="E428" s="5" cm="1">
        <f t="array" ref="E428">$E$4+(ROW(423:423)-1)*(($F$4-$E$4)/(COUNT($A$6:$A$446)-1))</f>
        <v>2018.5227727272727</v>
      </c>
      <c r="F428" s="5">
        <v>0</v>
      </c>
      <c r="G428" s="3">
        <v>0</v>
      </c>
      <c r="H428" s="3">
        <v>0</v>
      </c>
    </row>
    <row r="429" spans="1:8" x14ac:dyDescent="0.3">
      <c r="A429" s="3">
        <v>2018.9</v>
      </c>
      <c r="B429" s="3">
        <v>0.74463900000000005</v>
      </c>
      <c r="C429" s="3">
        <f t="shared" si="14"/>
        <v>0.74463900000000005</v>
      </c>
      <c r="D429" s="3" t="e">
        <f t="shared" si="15"/>
        <v>#N/A</v>
      </c>
      <c r="E429" s="5" cm="1">
        <f t="array" ref="E429">$E$4+(ROW(424:424)-1)*(($F$4-$E$4)/(COUNT($A$6:$A$446)-1))</f>
        <v>2018.599840909091</v>
      </c>
      <c r="F429" s="5">
        <v>0</v>
      </c>
      <c r="G429" s="3">
        <v>0</v>
      </c>
      <c r="H429" s="3">
        <v>0</v>
      </c>
    </row>
    <row r="430" spans="1:8" x14ac:dyDescent="0.3">
      <c r="A430" s="3">
        <v>2018.95</v>
      </c>
      <c r="B430" s="3">
        <v>0.658138</v>
      </c>
      <c r="C430" s="3">
        <f t="shared" si="14"/>
        <v>0.658138</v>
      </c>
      <c r="D430" s="3" t="e">
        <f t="shared" si="15"/>
        <v>#N/A</v>
      </c>
      <c r="E430" s="5" cm="1">
        <f t="array" ref="E430">$E$4+(ROW(425:425)-1)*(($F$4-$E$4)/(COUNT($A$6:$A$446)-1))</f>
        <v>2018.6769090909092</v>
      </c>
      <c r="F430" s="5">
        <v>0</v>
      </c>
      <c r="G430" s="3">
        <v>0</v>
      </c>
      <c r="H430" s="3">
        <v>0</v>
      </c>
    </row>
    <row r="431" spans="1:8" x14ac:dyDescent="0.3">
      <c r="A431" s="3">
        <v>2018.98</v>
      </c>
      <c r="B431" s="3">
        <v>0.57041900000000001</v>
      </c>
      <c r="C431" s="3">
        <f t="shared" si="14"/>
        <v>0.57041900000000001</v>
      </c>
      <c r="D431" s="3" t="e">
        <f t="shared" si="15"/>
        <v>#N/A</v>
      </c>
      <c r="E431" s="5" cm="1">
        <f t="array" ref="E431">$E$4+(ROW(426:426)-1)*(($F$4-$E$4)/(COUNT($A$6:$A$446)-1))</f>
        <v>2018.7539772727273</v>
      </c>
      <c r="F431" s="5">
        <v>0</v>
      </c>
      <c r="G431" s="3">
        <v>0</v>
      </c>
      <c r="H431" s="3">
        <v>0</v>
      </c>
    </row>
    <row r="432" spans="1:8" x14ac:dyDescent="0.3">
      <c r="A432" s="3">
        <v>2019.01</v>
      </c>
      <c r="B432" s="3">
        <v>0.48270000000000002</v>
      </c>
      <c r="C432" s="3">
        <f t="shared" si="14"/>
        <v>0.48270000000000002</v>
      </c>
      <c r="D432" s="3" t="e">
        <f t="shared" si="15"/>
        <v>#N/A</v>
      </c>
      <c r="E432" s="5" cm="1">
        <f t="array" ref="E432">$E$4+(ROW(427:427)-1)*(($F$4-$E$4)/(COUNT($A$6:$A$446)-1))</f>
        <v>2018.8310454545456</v>
      </c>
      <c r="F432" s="5">
        <v>0</v>
      </c>
      <c r="G432" s="3">
        <v>0</v>
      </c>
      <c r="H432" s="3">
        <v>0</v>
      </c>
    </row>
    <row r="433" spans="1:8" x14ac:dyDescent="0.3">
      <c r="A433" s="3">
        <v>2019.05</v>
      </c>
      <c r="B433" s="3">
        <v>0.39619900000000002</v>
      </c>
      <c r="C433" s="3">
        <f t="shared" si="14"/>
        <v>0.39619900000000002</v>
      </c>
      <c r="D433" s="3" t="e">
        <f t="shared" si="15"/>
        <v>#N/A</v>
      </c>
      <c r="E433" s="5" cm="1">
        <f t="array" ref="E433">$E$4+(ROW(428:428)-1)*(($F$4-$E$4)/(COUNT($A$6:$A$446)-1))</f>
        <v>2018.9081136363636</v>
      </c>
      <c r="F433" s="5">
        <v>0</v>
      </c>
      <c r="G433" s="3">
        <v>0</v>
      </c>
      <c r="H433" s="3">
        <v>0</v>
      </c>
    </row>
    <row r="434" spans="1:8" x14ac:dyDescent="0.3">
      <c r="A434" s="3">
        <v>2019.12</v>
      </c>
      <c r="B434" s="3">
        <v>0.30969799999999997</v>
      </c>
      <c r="C434" s="3">
        <f t="shared" si="14"/>
        <v>0.30969799999999997</v>
      </c>
      <c r="D434" s="3" t="e">
        <f t="shared" si="15"/>
        <v>#N/A</v>
      </c>
      <c r="E434" s="5" cm="1">
        <f t="array" ref="E434">$E$4+(ROW(429:429)-1)*(($F$4-$E$4)/(COUNT($A$6:$A$446)-1))</f>
        <v>2018.9851818181819</v>
      </c>
      <c r="F434" s="5">
        <v>0</v>
      </c>
      <c r="G434" s="3">
        <v>0</v>
      </c>
      <c r="H434" s="3">
        <v>0</v>
      </c>
    </row>
    <row r="435" spans="1:8" x14ac:dyDescent="0.3">
      <c r="A435" s="3">
        <v>2019.19</v>
      </c>
      <c r="B435" s="3">
        <v>0.22319700000000001</v>
      </c>
      <c r="C435" s="3">
        <f t="shared" si="14"/>
        <v>0.22319700000000001</v>
      </c>
      <c r="D435" s="3" t="e">
        <f t="shared" si="15"/>
        <v>#N/A</v>
      </c>
      <c r="E435" s="5" cm="1">
        <f t="array" ref="E435">$E$4+(ROW(430:430)-1)*(($F$4-$E$4)/(COUNT($A$6:$A$446)-1))</f>
        <v>2019.0622500000002</v>
      </c>
      <c r="F435" s="5">
        <v>0</v>
      </c>
      <c r="G435" s="3">
        <v>0</v>
      </c>
      <c r="H435" s="3">
        <v>0</v>
      </c>
    </row>
    <row r="436" spans="1:8" x14ac:dyDescent="0.3">
      <c r="A436" s="3">
        <v>2019.28</v>
      </c>
      <c r="B436" s="3">
        <v>-0.45540900000000001</v>
      </c>
      <c r="C436" s="3" t="e">
        <f t="shared" si="14"/>
        <v>#N/A</v>
      </c>
      <c r="D436" s="3">
        <f t="shared" si="15"/>
        <v>-0.45540900000000001</v>
      </c>
      <c r="E436" s="5" cm="1">
        <f t="array" ref="E436">$E$4+(ROW(431:431)-1)*(($F$4-$E$4)/(COUNT($A$6:$A$446)-1))</f>
        <v>2019.1393181818182</v>
      </c>
      <c r="F436" s="5">
        <v>0</v>
      </c>
      <c r="G436" s="3">
        <v>0</v>
      </c>
      <c r="H436" s="3">
        <v>0</v>
      </c>
    </row>
    <row r="437" spans="1:8" x14ac:dyDescent="0.3">
      <c r="A437" s="3">
        <v>2019.31</v>
      </c>
      <c r="B437" s="3">
        <v>-0.40058500000000002</v>
      </c>
      <c r="C437" s="3" t="e">
        <f t="shared" si="14"/>
        <v>#N/A</v>
      </c>
      <c r="D437" s="3">
        <f t="shared" si="15"/>
        <v>-0.40058500000000002</v>
      </c>
      <c r="E437" s="5" cm="1">
        <f t="array" ref="E437">$E$4+(ROW(432:432)-1)*(($F$4-$E$4)/(COUNT($A$6:$A$446)-1))</f>
        <v>2019.2163863636365</v>
      </c>
      <c r="F437" s="5">
        <v>0</v>
      </c>
      <c r="G437" s="3">
        <v>0</v>
      </c>
      <c r="H437" s="3">
        <v>0</v>
      </c>
    </row>
    <row r="438" spans="1:8" x14ac:dyDescent="0.3">
      <c r="A438" s="3">
        <v>2019.34</v>
      </c>
      <c r="B438" s="3">
        <v>-0.36769000000000002</v>
      </c>
      <c r="C438" s="3" t="e">
        <f t="shared" si="14"/>
        <v>#N/A</v>
      </c>
      <c r="D438" s="3">
        <f t="shared" si="15"/>
        <v>-0.36769000000000002</v>
      </c>
      <c r="E438" s="5" cm="1">
        <f t="array" ref="E438">$E$4+(ROW(433:433)-1)*(($F$4-$E$4)/(COUNT($A$6:$A$446)-1))</f>
        <v>2019.2934545454546</v>
      </c>
      <c r="F438" s="5">
        <v>0</v>
      </c>
      <c r="G438" s="3">
        <v>0</v>
      </c>
      <c r="H438" s="3">
        <v>0</v>
      </c>
    </row>
    <row r="439" spans="1:8" x14ac:dyDescent="0.3">
      <c r="A439" s="3">
        <v>2019.63</v>
      </c>
      <c r="B439" s="3">
        <v>-0.34454200000000001</v>
      </c>
      <c r="C439" s="3" t="e">
        <f t="shared" si="14"/>
        <v>#N/A</v>
      </c>
      <c r="D439" s="3">
        <f t="shared" si="15"/>
        <v>-0.34454200000000001</v>
      </c>
      <c r="E439" s="5" cm="1">
        <f t="array" ref="E439">$E$4+(ROW(434:434)-1)*(($F$4-$E$4)/(COUNT($A$6:$A$446)-1))</f>
        <v>2019.3705227272728</v>
      </c>
      <c r="F439" s="5">
        <v>0</v>
      </c>
      <c r="G439" s="3">
        <v>0</v>
      </c>
      <c r="H439" s="3">
        <v>0</v>
      </c>
    </row>
    <row r="440" spans="1:8" x14ac:dyDescent="0.3">
      <c r="A440" s="3">
        <v>2019.66</v>
      </c>
      <c r="B440" s="3">
        <v>-0.144737</v>
      </c>
      <c r="C440" s="3" t="e">
        <f t="shared" si="14"/>
        <v>#N/A</v>
      </c>
      <c r="D440" s="3">
        <f t="shared" si="15"/>
        <v>-0.144737</v>
      </c>
      <c r="E440" s="5" cm="1">
        <f t="array" ref="E440">$E$4+(ROW(435:435)-1)*(($F$4-$E$4)/(COUNT($A$6:$A$446)-1))</f>
        <v>2019.4475909090911</v>
      </c>
      <c r="F440" s="5">
        <v>0</v>
      </c>
      <c r="G440" s="3">
        <v>0</v>
      </c>
      <c r="H440" s="3">
        <v>0</v>
      </c>
    </row>
    <row r="441" spans="1:8" x14ac:dyDescent="0.3">
      <c r="A441" s="3">
        <v>2019.67</v>
      </c>
      <c r="B441" s="3">
        <v>-0.232456</v>
      </c>
      <c r="C441" s="3" t="e">
        <f t="shared" si="14"/>
        <v>#N/A</v>
      </c>
      <c r="D441" s="3">
        <f t="shared" si="15"/>
        <v>-0.232456</v>
      </c>
      <c r="E441" s="5" cm="1">
        <f t="array" ref="E441">$E$4+(ROW(436:436)-1)*(($F$4-$E$4)/(COUNT($A$6:$A$446)-1))</f>
        <v>2019.5246590909092</v>
      </c>
      <c r="F441" s="5">
        <v>0</v>
      </c>
      <c r="G441" s="3">
        <v>0</v>
      </c>
      <c r="H441" s="3">
        <v>0</v>
      </c>
    </row>
    <row r="442" spans="1:8" x14ac:dyDescent="0.3">
      <c r="A442" s="3">
        <v>2019.84</v>
      </c>
      <c r="B442" s="3">
        <v>6.35965E-2</v>
      </c>
      <c r="C442" s="3">
        <f t="shared" si="14"/>
        <v>6.35965E-2</v>
      </c>
      <c r="D442" s="3" t="e">
        <f t="shared" si="15"/>
        <v>#N/A</v>
      </c>
      <c r="E442" s="5" cm="1">
        <f t="array" ref="E442">$E$4+(ROW(437:437)-1)*(($F$4-$E$4)/(COUNT($A$6:$A$446)-1))</f>
        <v>2019.6017272727274</v>
      </c>
      <c r="F442" s="5">
        <v>0</v>
      </c>
      <c r="G442" s="3">
        <v>0</v>
      </c>
      <c r="H442" s="3">
        <v>0</v>
      </c>
    </row>
    <row r="443" spans="1:8" x14ac:dyDescent="0.3">
      <c r="A443" s="3">
        <v>2019.87</v>
      </c>
      <c r="B443" s="3">
        <v>0.15131600000000001</v>
      </c>
      <c r="C443" s="3">
        <f t="shared" si="14"/>
        <v>0.15131600000000001</v>
      </c>
      <c r="D443" s="3" t="e">
        <f t="shared" si="15"/>
        <v>#N/A</v>
      </c>
      <c r="E443" s="5" cm="1">
        <f t="array" ref="E443">$E$4+(ROW(438:438)-1)*(($F$4-$E$4)/(COUNT($A$6:$A$446)-1))</f>
        <v>2019.6787954545455</v>
      </c>
      <c r="F443" s="5">
        <v>0</v>
      </c>
      <c r="G443" s="3">
        <v>0</v>
      </c>
      <c r="H443" s="3">
        <v>0</v>
      </c>
    </row>
    <row r="444" spans="1:8" x14ac:dyDescent="0.3">
      <c r="A444" s="3">
        <v>2019.89</v>
      </c>
      <c r="B444" s="3">
        <v>0.239035</v>
      </c>
      <c r="C444" s="3">
        <f t="shared" si="14"/>
        <v>0.239035</v>
      </c>
      <c r="D444" s="3" t="e">
        <f t="shared" si="15"/>
        <v>#N/A</v>
      </c>
      <c r="E444" s="5" cm="1">
        <f t="array" ref="E444">$E$4+(ROW(439:439)-1)*(($F$4-$E$4)/(COUNT($A$6:$A$446)-1))</f>
        <v>2019.7558636363638</v>
      </c>
      <c r="F444" s="5">
        <v>0</v>
      </c>
      <c r="G444" s="3">
        <v>0</v>
      </c>
      <c r="H444" s="3">
        <v>0</v>
      </c>
    </row>
    <row r="445" spans="1:8" x14ac:dyDescent="0.3">
      <c r="A445" s="3">
        <v>2019.9</v>
      </c>
      <c r="B445" s="3">
        <v>0.32675399999999999</v>
      </c>
      <c r="C445" s="3">
        <f t="shared" si="14"/>
        <v>0.32675399999999999</v>
      </c>
      <c r="D445" s="3" t="e">
        <f t="shared" si="15"/>
        <v>#N/A</v>
      </c>
      <c r="E445" s="5" cm="1">
        <f t="array" ref="E445">$E$4+(ROW(440:440)-1)*(($F$4-$E$4)/(COUNT($A$6:$A$446)-1))</f>
        <v>2019.8329318181818</v>
      </c>
      <c r="F445" s="5">
        <v>0</v>
      </c>
      <c r="G445" s="3">
        <v>0</v>
      </c>
      <c r="H445" s="3">
        <v>0</v>
      </c>
    </row>
    <row r="446" spans="1:8" x14ac:dyDescent="0.3">
      <c r="A446" s="3">
        <v>2019.91</v>
      </c>
      <c r="B446" s="3">
        <v>7.5536099999999997E-3</v>
      </c>
      <c r="C446" s="3">
        <f t="shared" si="14"/>
        <v>7.5536099999999997E-3</v>
      </c>
      <c r="D446" s="3" t="e">
        <f>IF(B446&lt;=$C$4,B446,$D$4)</f>
        <v>#N/A</v>
      </c>
      <c r="E446" s="5" cm="1">
        <f t="array" ref="E446">$E$4+(ROW(441:441)-1)*(($F$4-$E$4)/(COUNT($A$6:$A$446)-1))</f>
        <v>2019.91</v>
      </c>
      <c r="F446" s="5">
        <v>0</v>
      </c>
      <c r="G446" s="3">
        <v>0</v>
      </c>
      <c r="H446" s="3">
        <v>0</v>
      </c>
    </row>
  </sheetData>
  <sortState xmlns:xlrd2="http://schemas.microsoft.com/office/spreadsheetml/2017/richdata2" ref="A6:B446">
    <sortCondition ref="A6:A446"/>
  </sortState>
  <mergeCells count="1">
    <mergeCell ref="E2:F2"/>
  </mergeCells>
  <phoneticPr fontId="1" type="noConversion"/>
  <pageMargins left="0.7" right="0.7" top="0.75" bottom="0.75" header="0.3" footer="0.3"/>
  <ignoredErrors>
    <ignoredError sqref="D6:D446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6177-0009-4FD6-A9F6-CD5CDB0346ED}">
  <dimension ref="A1:M25"/>
  <sheetViews>
    <sheetView showGridLines="0" zoomScaleNormal="100" workbookViewId="0">
      <selection activeCell="E3" sqref="E3:E21"/>
    </sheetView>
  </sheetViews>
  <sheetFormatPr defaultRowHeight="14" x14ac:dyDescent="0.3"/>
  <cols>
    <col min="1" max="9" width="12.75" customWidth="1"/>
  </cols>
  <sheetData>
    <row r="1" spans="1:13" ht="20" x14ac:dyDescent="0.3">
      <c r="A1" s="17" t="s">
        <v>17</v>
      </c>
      <c r="B1" s="17"/>
      <c r="C1" s="17"/>
      <c r="D1" s="17"/>
      <c r="E1" s="2"/>
      <c r="F1" s="2"/>
      <c r="G1" s="2"/>
      <c r="H1" s="2"/>
      <c r="I1" s="2"/>
    </row>
    <row r="2" spans="1:13" x14ac:dyDescent="0.3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18</v>
      </c>
      <c r="F2" s="18" t="s">
        <v>22</v>
      </c>
      <c r="G2" s="18" t="s">
        <v>23</v>
      </c>
      <c r="H2" s="18" t="s">
        <v>24</v>
      </c>
      <c r="I2" s="18" t="s">
        <v>25</v>
      </c>
    </row>
    <row r="3" spans="1:13" x14ac:dyDescent="0.3">
      <c r="A3" s="18">
        <v>2010</v>
      </c>
      <c r="B3" s="3">
        <v>7</v>
      </c>
      <c r="C3" s="3">
        <v>7</v>
      </c>
      <c r="D3" s="3">
        <v>7</v>
      </c>
      <c r="E3" s="18">
        <v>2010</v>
      </c>
      <c r="F3" s="3">
        <v>7</v>
      </c>
      <c r="G3" s="3">
        <v>7</v>
      </c>
      <c r="H3" s="3">
        <v>7</v>
      </c>
      <c r="I3" s="3">
        <f>F3-H3</f>
        <v>0</v>
      </c>
    </row>
    <row r="4" spans="1:13" x14ac:dyDescent="0.3">
      <c r="A4" s="18">
        <v>2015</v>
      </c>
      <c r="B4" s="3">
        <v>7.38</v>
      </c>
      <c r="C4" s="3">
        <v>7.26</v>
      </c>
      <c r="D4" s="3">
        <v>7.28</v>
      </c>
      <c r="E4" s="18">
        <v>2015</v>
      </c>
      <c r="F4" s="3">
        <v>7.38</v>
      </c>
      <c r="G4" s="3">
        <v>7.33</v>
      </c>
      <c r="H4" s="3">
        <v>7.33</v>
      </c>
      <c r="I4" s="3">
        <f t="shared" ref="I4:I21" si="0">F4-H4</f>
        <v>4.9999999999999822E-2</v>
      </c>
    </row>
    <row r="5" spans="1:13" x14ac:dyDescent="0.3">
      <c r="A5" s="18">
        <v>2020</v>
      </c>
      <c r="B5" s="3">
        <v>7.76</v>
      </c>
      <c r="C5" s="3">
        <v>7.52</v>
      </c>
      <c r="D5" s="3">
        <v>7.53</v>
      </c>
      <c r="E5" s="18">
        <v>2020</v>
      </c>
      <c r="F5" s="3">
        <v>7.76</v>
      </c>
      <c r="G5" s="3">
        <v>7.66</v>
      </c>
      <c r="H5" s="3">
        <v>7.66</v>
      </c>
      <c r="I5" s="3">
        <f t="shared" si="0"/>
        <v>9.9999999999999645E-2</v>
      </c>
    </row>
    <row r="6" spans="1:13" x14ac:dyDescent="0.3">
      <c r="A6" s="18">
        <v>2025</v>
      </c>
      <c r="B6" s="3">
        <v>8.14</v>
      </c>
      <c r="C6" s="3">
        <v>7.78</v>
      </c>
      <c r="D6" s="3">
        <v>7.75</v>
      </c>
      <c r="E6" s="18">
        <v>2025</v>
      </c>
      <c r="F6" s="3">
        <v>8.14</v>
      </c>
      <c r="G6" s="3">
        <v>7.99</v>
      </c>
      <c r="H6" s="3">
        <v>7.99</v>
      </c>
      <c r="I6" s="3">
        <f t="shared" si="0"/>
        <v>0.15000000000000036</v>
      </c>
    </row>
    <row r="7" spans="1:13" x14ac:dyDescent="0.3">
      <c r="A7" s="18">
        <v>2030</v>
      </c>
      <c r="B7" s="3">
        <v>8.52</v>
      </c>
      <c r="C7" s="3">
        <v>8.0399999999999991</v>
      </c>
      <c r="D7" s="3">
        <v>7.94</v>
      </c>
      <c r="E7" s="18">
        <v>2030</v>
      </c>
      <c r="F7" s="3">
        <v>8.52</v>
      </c>
      <c r="G7" s="3">
        <v>8.32</v>
      </c>
      <c r="H7" s="3">
        <v>8.32</v>
      </c>
      <c r="I7" s="3">
        <f t="shared" si="0"/>
        <v>0.19999999999999929</v>
      </c>
      <c r="J7" s="6"/>
      <c r="K7" s="6"/>
      <c r="L7" s="6"/>
      <c r="M7" s="6"/>
    </row>
    <row r="8" spans="1:13" x14ac:dyDescent="0.3">
      <c r="A8" s="18">
        <v>2035</v>
      </c>
      <c r="B8" s="3">
        <v>8.9</v>
      </c>
      <c r="C8" s="3">
        <v>8.3000000000000007</v>
      </c>
      <c r="D8" s="3">
        <v>8.1</v>
      </c>
      <c r="E8" s="18">
        <v>2035</v>
      </c>
      <c r="F8" s="3">
        <v>8.9</v>
      </c>
      <c r="G8" s="3">
        <v>8.65</v>
      </c>
      <c r="H8" s="3">
        <v>8.65</v>
      </c>
      <c r="I8" s="3">
        <f t="shared" si="0"/>
        <v>0.25</v>
      </c>
    </row>
    <row r="9" spans="1:13" x14ac:dyDescent="0.3">
      <c r="A9" s="18">
        <v>2040</v>
      </c>
      <c r="B9" s="3">
        <v>9.2799999999999994</v>
      </c>
      <c r="C9" s="3">
        <v>8.56</v>
      </c>
      <c r="D9" s="3">
        <v>8.23</v>
      </c>
      <c r="E9" s="18">
        <v>2040</v>
      </c>
      <c r="F9" s="3">
        <v>9.2799999999999994</v>
      </c>
      <c r="G9" s="3">
        <v>9</v>
      </c>
      <c r="H9" s="3">
        <v>9</v>
      </c>
      <c r="I9" s="3">
        <f t="shared" si="0"/>
        <v>0.27999999999999936</v>
      </c>
    </row>
    <row r="10" spans="1:13" ht="14.5" thickBot="1" x14ac:dyDescent="0.35">
      <c r="A10" s="18">
        <v>2045</v>
      </c>
      <c r="B10" s="9">
        <v>9.66</v>
      </c>
      <c r="C10" s="9">
        <v>8.82</v>
      </c>
      <c r="D10" s="9">
        <v>8.33</v>
      </c>
      <c r="E10" s="18">
        <v>2045</v>
      </c>
      <c r="F10" s="9">
        <v>9.66</v>
      </c>
      <c r="G10" s="9">
        <v>9.2899999999999991</v>
      </c>
      <c r="H10" s="9">
        <v>9.19</v>
      </c>
      <c r="I10" s="9">
        <f t="shared" si="0"/>
        <v>0.47000000000000064</v>
      </c>
    </row>
    <row r="11" spans="1:13" x14ac:dyDescent="0.3">
      <c r="A11" s="18">
        <v>2050</v>
      </c>
      <c r="B11" s="8">
        <v>10</v>
      </c>
      <c r="C11" s="8">
        <v>9</v>
      </c>
      <c r="D11" s="8">
        <v>8.4</v>
      </c>
      <c r="E11" s="18">
        <v>2050</v>
      </c>
      <c r="F11" s="8">
        <v>10</v>
      </c>
      <c r="G11" s="8">
        <v>9.56</v>
      </c>
      <c r="H11" s="8">
        <v>9.36</v>
      </c>
      <c r="I11" s="8">
        <f t="shared" si="0"/>
        <v>0.64000000000000057</v>
      </c>
    </row>
    <row r="12" spans="1:13" x14ac:dyDescent="0.3">
      <c r="A12" s="18">
        <v>2055</v>
      </c>
      <c r="B12" s="3">
        <v>10.27</v>
      </c>
      <c r="C12" s="3">
        <v>9.14</v>
      </c>
      <c r="D12" s="3">
        <v>8.42</v>
      </c>
      <c r="E12" s="18">
        <v>2055</v>
      </c>
      <c r="F12" s="3">
        <v>10.3</v>
      </c>
      <c r="G12" s="3">
        <v>9.81</v>
      </c>
      <c r="H12" s="3">
        <v>9.51</v>
      </c>
      <c r="I12" s="3">
        <f t="shared" si="0"/>
        <v>0.79000000000000092</v>
      </c>
    </row>
    <row r="13" spans="1:13" x14ac:dyDescent="0.3">
      <c r="A13" s="18">
        <v>2060</v>
      </c>
      <c r="B13" s="3">
        <v>10.54</v>
      </c>
      <c r="C13" s="3">
        <v>9.25</v>
      </c>
      <c r="D13" s="3">
        <v>8.4</v>
      </c>
      <c r="E13" s="18">
        <v>2060</v>
      </c>
      <c r="F13" s="3">
        <v>10.6</v>
      </c>
      <c r="G13" s="3">
        <v>10.039999999999999</v>
      </c>
      <c r="H13" s="3">
        <v>9.64</v>
      </c>
      <c r="I13" s="3">
        <f t="shared" si="0"/>
        <v>0.95999999999999908</v>
      </c>
    </row>
    <row r="14" spans="1:13" ht="14.5" thickBot="1" x14ac:dyDescent="0.35">
      <c r="A14" s="18">
        <v>2065</v>
      </c>
      <c r="B14" s="9">
        <v>10.81</v>
      </c>
      <c r="C14" s="9">
        <v>9.33</v>
      </c>
      <c r="D14" s="9">
        <v>8.33</v>
      </c>
      <c r="E14" s="18">
        <v>2065</v>
      </c>
      <c r="F14" s="9">
        <v>10.9</v>
      </c>
      <c r="G14" s="9">
        <v>10.25</v>
      </c>
      <c r="H14" s="9">
        <v>9.75</v>
      </c>
      <c r="I14" s="9">
        <f t="shared" si="0"/>
        <v>1.1500000000000004</v>
      </c>
    </row>
    <row r="15" spans="1:13" x14ac:dyDescent="0.3">
      <c r="A15" s="18">
        <v>2070</v>
      </c>
      <c r="B15" s="8">
        <v>11.08</v>
      </c>
      <c r="C15" s="8">
        <v>9.3800000000000008</v>
      </c>
      <c r="D15" s="8">
        <v>8.23</v>
      </c>
      <c r="E15" s="18">
        <v>2070</v>
      </c>
      <c r="F15" s="8">
        <v>11.2</v>
      </c>
      <c r="G15" s="8">
        <v>10.44</v>
      </c>
      <c r="H15" s="8">
        <v>9.84</v>
      </c>
      <c r="I15" s="8">
        <f t="shared" si="0"/>
        <v>1.3599999999999994</v>
      </c>
    </row>
    <row r="16" spans="1:13" x14ac:dyDescent="0.3">
      <c r="A16" s="18">
        <v>2075</v>
      </c>
      <c r="B16" s="3">
        <v>11.35</v>
      </c>
      <c r="C16" s="3">
        <v>9.4</v>
      </c>
      <c r="D16" s="3">
        <v>8.1</v>
      </c>
      <c r="E16" s="18">
        <v>2075</v>
      </c>
      <c r="F16" s="3">
        <v>11.5</v>
      </c>
      <c r="G16" s="3">
        <v>10.61</v>
      </c>
      <c r="H16" s="3">
        <v>9.9</v>
      </c>
      <c r="I16" s="3">
        <f t="shared" si="0"/>
        <v>1.5999999999999996</v>
      </c>
    </row>
    <row r="17" spans="1:9" x14ac:dyDescent="0.3">
      <c r="A17" s="18">
        <v>2080</v>
      </c>
      <c r="B17" s="3">
        <v>11.62</v>
      </c>
      <c r="C17" s="3">
        <v>9.3800000000000008</v>
      </c>
      <c r="D17" s="3">
        <v>7.94</v>
      </c>
      <c r="E17" s="18">
        <v>2080</v>
      </c>
      <c r="F17" s="3">
        <v>11.8</v>
      </c>
      <c r="G17" s="3">
        <v>10.76</v>
      </c>
      <c r="H17" s="3">
        <v>9.8800000000000008</v>
      </c>
      <c r="I17" s="3">
        <f t="shared" si="0"/>
        <v>1.92</v>
      </c>
    </row>
    <row r="18" spans="1:9" x14ac:dyDescent="0.3">
      <c r="A18" s="18">
        <v>2085</v>
      </c>
      <c r="B18" s="3">
        <v>11.89</v>
      </c>
      <c r="C18" s="3">
        <v>9.33</v>
      </c>
      <c r="D18" s="3">
        <v>7.75</v>
      </c>
      <c r="E18" s="18">
        <v>2085</v>
      </c>
      <c r="F18" s="3">
        <v>12.1</v>
      </c>
      <c r="G18" s="3">
        <v>10.89</v>
      </c>
      <c r="H18" s="3">
        <v>9.84</v>
      </c>
      <c r="I18" s="3">
        <f t="shared" si="0"/>
        <v>2.2599999999999998</v>
      </c>
    </row>
    <row r="19" spans="1:9" x14ac:dyDescent="0.3">
      <c r="A19" s="18">
        <v>2090</v>
      </c>
      <c r="B19" s="3">
        <v>12.16</v>
      </c>
      <c r="C19" s="3">
        <v>9.25</v>
      </c>
      <c r="D19" s="3">
        <v>7.53</v>
      </c>
      <c r="E19" s="18">
        <v>2090</v>
      </c>
      <c r="F19" s="3">
        <v>12.4</v>
      </c>
      <c r="G19" s="3">
        <v>11</v>
      </c>
      <c r="H19" s="3">
        <v>9.7799999999999994</v>
      </c>
      <c r="I19" s="3">
        <f t="shared" si="0"/>
        <v>2.620000000000001</v>
      </c>
    </row>
    <row r="20" spans="1:9" x14ac:dyDescent="0.3">
      <c r="A20" s="18">
        <v>2095</v>
      </c>
      <c r="B20" s="3">
        <v>12.43</v>
      </c>
      <c r="C20" s="3">
        <v>9.14</v>
      </c>
      <c r="D20" s="3">
        <v>7.28</v>
      </c>
      <c r="E20" s="18">
        <v>2095</v>
      </c>
      <c r="F20" s="3">
        <v>12.7</v>
      </c>
      <c r="G20" s="3">
        <v>11.09</v>
      </c>
      <c r="H20" s="3">
        <v>9.6999999999999993</v>
      </c>
      <c r="I20" s="3">
        <f t="shared" si="0"/>
        <v>3</v>
      </c>
    </row>
    <row r="21" spans="1:9" x14ac:dyDescent="0.3">
      <c r="A21" s="18">
        <v>2100</v>
      </c>
      <c r="B21" s="3">
        <v>12.7</v>
      </c>
      <c r="C21" s="3">
        <v>9</v>
      </c>
      <c r="D21" s="3">
        <v>7</v>
      </c>
      <c r="E21" s="18">
        <v>2100</v>
      </c>
      <c r="F21" s="3">
        <v>13</v>
      </c>
      <c r="G21" s="3">
        <v>11.16</v>
      </c>
      <c r="H21" s="3">
        <v>9.6</v>
      </c>
      <c r="I21" s="3">
        <f t="shared" si="0"/>
        <v>3.4000000000000004</v>
      </c>
    </row>
    <row r="22" spans="1:9" x14ac:dyDescent="0.3">
      <c r="F22" s="7"/>
      <c r="G22" s="7"/>
      <c r="H22" s="7"/>
      <c r="I22" s="7"/>
    </row>
    <row r="23" spans="1:9" x14ac:dyDescent="0.3">
      <c r="F23" s="7"/>
      <c r="G23" s="7"/>
      <c r="H23" s="7"/>
      <c r="I23" s="7"/>
    </row>
    <row r="24" spans="1:9" x14ac:dyDescent="0.3">
      <c r="F24" s="7"/>
      <c r="G24" s="7"/>
      <c r="H24" s="7"/>
      <c r="I24" s="7"/>
    </row>
    <row r="25" spans="1:9" x14ac:dyDescent="0.3">
      <c r="F25" s="7"/>
      <c r="G25" s="7"/>
      <c r="H25" s="7"/>
      <c r="I25" s="7"/>
    </row>
  </sheetData>
  <mergeCells count="1">
    <mergeCell ref="A1:D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138B-922C-4A0D-8C49-67B9204F8577}">
  <dimension ref="A1:G146"/>
  <sheetViews>
    <sheetView showGridLines="0" zoomScale="115" zoomScaleNormal="115" workbookViewId="0">
      <selection activeCell="G8" sqref="G8"/>
    </sheetView>
  </sheetViews>
  <sheetFormatPr defaultRowHeight="14" x14ac:dyDescent="0.3"/>
  <cols>
    <col min="1" max="6" width="17.58203125" style="2" customWidth="1"/>
    <col min="7" max="7" width="8.6640625" style="2"/>
  </cols>
  <sheetData>
    <row r="1" spans="1:7" x14ac:dyDescent="0.3">
      <c r="A1" s="10" t="s">
        <v>26</v>
      </c>
      <c r="B1"/>
      <c r="C1"/>
      <c r="D1"/>
      <c r="E1" s="10" t="s">
        <v>34</v>
      </c>
      <c r="F1"/>
      <c r="G1"/>
    </row>
    <row r="2" spans="1:7" x14ac:dyDescent="0.3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35</v>
      </c>
      <c r="F2" s="11" t="s">
        <v>36</v>
      </c>
      <c r="G2" s="11" t="s">
        <v>37</v>
      </c>
    </row>
    <row r="3" spans="1:7" x14ac:dyDescent="0.3">
      <c r="A3" s="18" t="s">
        <v>31</v>
      </c>
      <c r="B3" s="18" t="s">
        <v>18</v>
      </c>
      <c r="C3" s="18" t="s">
        <v>32</v>
      </c>
      <c r="D3" s="18" t="s">
        <v>33</v>
      </c>
      <c r="E3" s="18" t="s">
        <v>38</v>
      </c>
      <c r="F3" s="18" t="s">
        <v>39</v>
      </c>
      <c r="G3" s="18" t="s">
        <v>40</v>
      </c>
    </row>
    <row r="4" spans="1:7" x14ac:dyDescent="0.3">
      <c r="A4" s="3" cm="1">
        <f t="array" ref="A4:A128">_xlfn.SEQUENCE(125)</f>
        <v>1</v>
      </c>
      <c r="B4" s="3">
        <v>2006.11</v>
      </c>
      <c r="C4" s="4">
        <v>8.3283100000000001</v>
      </c>
      <c r="D4" s="4">
        <v>2.0739100000000001</v>
      </c>
      <c r="E4" s="3">
        <f>MIN(C4:D4)</f>
        <v>2.0739100000000001</v>
      </c>
      <c r="F4" s="3">
        <f>ABS(C4-D4)</f>
        <v>6.2544000000000004</v>
      </c>
      <c r="G4" s="3">
        <v>0</v>
      </c>
    </row>
    <row r="5" spans="1:7" x14ac:dyDescent="0.3">
      <c r="A5" s="3">
        <v>2</v>
      </c>
      <c r="B5" s="3">
        <v>2006.13</v>
      </c>
      <c r="C5" s="4">
        <v>8.1322299999999998</v>
      </c>
      <c r="D5" s="4">
        <v>2.0839599999999998</v>
      </c>
      <c r="E5" s="3">
        <f t="shared" ref="E5:E68" si="0">MIN(C5:D5)</f>
        <v>2.0839599999999998</v>
      </c>
      <c r="F5" s="3">
        <f t="shared" ref="F5:F68" si="1">ABS(C5-D5)</f>
        <v>6.0482700000000005</v>
      </c>
      <c r="G5" s="3">
        <v>149</v>
      </c>
    </row>
    <row r="6" spans="1:7" x14ac:dyDescent="0.3">
      <c r="A6" s="3">
        <v>3</v>
      </c>
      <c r="B6" s="3">
        <v>2006.27</v>
      </c>
      <c r="C6" s="4">
        <v>7.84565</v>
      </c>
      <c r="D6" s="4">
        <v>2.24485</v>
      </c>
      <c r="E6" s="3">
        <f t="shared" si="0"/>
        <v>2.24485</v>
      </c>
      <c r="F6" s="3">
        <f t="shared" si="1"/>
        <v>5.6007999999999996</v>
      </c>
    </row>
    <row r="7" spans="1:7" x14ac:dyDescent="0.3">
      <c r="A7" s="3">
        <v>4</v>
      </c>
      <c r="B7" s="3">
        <v>2006.42</v>
      </c>
      <c r="C7" s="4">
        <v>8.2076399999999996</v>
      </c>
      <c r="D7" s="4">
        <v>2.3252899999999999</v>
      </c>
      <c r="E7" s="3">
        <f t="shared" si="0"/>
        <v>2.3252899999999999</v>
      </c>
      <c r="F7" s="3">
        <f t="shared" si="1"/>
        <v>5.8823499999999997</v>
      </c>
    </row>
    <row r="8" spans="1:7" x14ac:dyDescent="0.3">
      <c r="A8" s="3">
        <v>5</v>
      </c>
      <c r="B8" s="3">
        <v>2006.43</v>
      </c>
      <c r="C8" s="4">
        <v>7.99648</v>
      </c>
      <c r="D8" s="4">
        <v>1.24434</v>
      </c>
      <c r="E8" s="3">
        <f t="shared" si="0"/>
        <v>1.24434</v>
      </c>
      <c r="F8" s="3">
        <f t="shared" si="1"/>
        <v>6.7521399999999998</v>
      </c>
    </row>
    <row r="9" spans="1:7" x14ac:dyDescent="0.3">
      <c r="A9" s="3">
        <v>6</v>
      </c>
      <c r="B9" s="3">
        <v>2006.52</v>
      </c>
      <c r="C9" s="4">
        <v>7.8557100000000002</v>
      </c>
      <c r="D9" s="4">
        <v>0.97787800000000002</v>
      </c>
      <c r="E9" s="3">
        <f t="shared" si="0"/>
        <v>0.97787800000000002</v>
      </c>
      <c r="F9" s="3">
        <f t="shared" si="1"/>
        <v>6.8778319999999997</v>
      </c>
    </row>
    <row r="10" spans="1:7" x14ac:dyDescent="0.3">
      <c r="A10" s="3">
        <v>7</v>
      </c>
      <c r="B10" s="3">
        <v>2006.63</v>
      </c>
      <c r="C10" s="4">
        <v>7.7350399999999997</v>
      </c>
      <c r="D10" s="4">
        <v>0.74660599999999999</v>
      </c>
      <c r="E10" s="3">
        <f t="shared" si="0"/>
        <v>0.74660599999999999</v>
      </c>
      <c r="F10" s="3">
        <f t="shared" si="1"/>
        <v>6.9884339999999998</v>
      </c>
    </row>
    <row r="11" spans="1:7" x14ac:dyDescent="0.3">
      <c r="A11" s="3">
        <v>8</v>
      </c>
      <c r="B11" s="3">
        <v>2006.75</v>
      </c>
      <c r="C11" s="4">
        <v>7.5490199999999996</v>
      </c>
      <c r="D11" s="4">
        <v>0.53041700000000003</v>
      </c>
      <c r="E11" s="3">
        <f t="shared" si="0"/>
        <v>0.53041700000000003</v>
      </c>
      <c r="F11" s="3">
        <f t="shared" si="1"/>
        <v>7.0186029999999997</v>
      </c>
    </row>
    <row r="12" spans="1:7" x14ac:dyDescent="0.3">
      <c r="A12" s="3">
        <v>9</v>
      </c>
      <c r="B12" s="3">
        <v>2006.87</v>
      </c>
      <c r="C12" s="4">
        <v>8.1674199999999999</v>
      </c>
      <c r="D12" s="4">
        <v>1.49573</v>
      </c>
      <c r="E12" s="3">
        <f t="shared" si="0"/>
        <v>1.49573</v>
      </c>
      <c r="F12" s="3">
        <f t="shared" si="1"/>
        <v>6.6716899999999999</v>
      </c>
    </row>
    <row r="13" spans="1:7" x14ac:dyDescent="0.3">
      <c r="A13" s="3">
        <v>10</v>
      </c>
      <c r="B13" s="3">
        <v>2006.98</v>
      </c>
      <c r="C13" s="4">
        <v>7.9059799999999996</v>
      </c>
      <c r="D13" s="4">
        <v>1.7571600000000001</v>
      </c>
      <c r="E13" s="3">
        <f t="shared" si="0"/>
        <v>1.7571600000000001</v>
      </c>
      <c r="F13" s="3">
        <f t="shared" si="1"/>
        <v>6.1488199999999997</v>
      </c>
    </row>
    <row r="14" spans="1:7" x14ac:dyDescent="0.3">
      <c r="A14" s="3">
        <v>11</v>
      </c>
      <c r="B14" s="3">
        <v>2007.11</v>
      </c>
      <c r="C14" s="4">
        <v>7.8003999999999998</v>
      </c>
      <c r="D14" s="4">
        <v>2.0236299999999998</v>
      </c>
      <c r="E14" s="3">
        <f t="shared" si="0"/>
        <v>2.0236299999999998</v>
      </c>
      <c r="F14" s="3">
        <f t="shared" si="1"/>
        <v>5.77677</v>
      </c>
    </row>
    <row r="15" spans="1:7" x14ac:dyDescent="0.3">
      <c r="A15" s="3">
        <v>12</v>
      </c>
      <c r="B15" s="3">
        <v>2007.24</v>
      </c>
      <c r="C15" s="4">
        <v>7.8858699999999997</v>
      </c>
      <c r="D15" s="4">
        <v>2.30518</v>
      </c>
      <c r="E15" s="3">
        <f t="shared" si="0"/>
        <v>2.30518</v>
      </c>
      <c r="F15" s="3">
        <f t="shared" si="1"/>
        <v>5.5806899999999997</v>
      </c>
    </row>
    <row r="16" spans="1:7" x14ac:dyDescent="0.3">
      <c r="A16" s="3">
        <v>13</v>
      </c>
      <c r="B16" s="3">
        <v>2007.3</v>
      </c>
      <c r="C16" s="4">
        <v>8.0316700000000001</v>
      </c>
      <c r="D16" s="4">
        <v>1.5610900000000001</v>
      </c>
      <c r="E16" s="3">
        <f t="shared" si="0"/>
        <v>1.5610900000000001</v>
      </c>
      <c r="F16" s="3">
        <f t="shared" si="1"/>
        <v>6.47058</v>
      </c>
    </row>
    <row r="17" spans="1:6" x14ac:dyDescent="0.3">
      <c r="A17" s="3">
        <v>14</v>
      </c>
      <c r="B17" s="3">
        <v>2007.38</v>
      </c>
      <c r="C17" s="4">
        <v>8.3283100000000001</v>
      </c>
      <c r="D17" s="4">
        <v>1.73203</v>
      </c>
      <c r="E17" s="3">
        <f t="shared" si="0"/>
        <v>1.73203</v>
      </c>
      <c r="F17" s="3">
        <f t="shared" si="1"/>
        <v>6.5962800000000001</v>
      </c>
    </row>
    <row r="18" spans="1:6" x14ac:dyDescent="0.3">
      <c r="A18" s="3">
        <v>15</v>
      </c>
      <c r="B18" s="3">
        <v>2007.45</v>
      </c>
      <c r="C18" s="4">
        <v>8.6299600000000005</v>
      </c>
      <c r="D18" s="4">
        <v>1.75214</v>
      </c>
      <c r="E18" s="3">
        <f t="shared" si="0"/>
        <v>1.75214</v>
      </c>
      <c r="F18" s="3">
        <f t="shared" si="1"/>
        <v>6.8778200000000007</v>
      </c>
    </row>
    <row r="19" spans="1:6" x14ac:dyDescent="0.3">
      <c r="A19" s="3">
        <v>16</v>
      </c>
      <c r="B19" s="3">
        <v>2007.52</v>
      </c>
      <c r="C19" s="4">
        <v>8.8662600000000005</v>
      </c>
      <c r="D19" s="4">
        <v>1.8526899999999999</v>
      </c>
      <c r="E19" s="3">
        <f t="shared" si="0"/>
        <v>1.8526899999999999</v>
      </c>
      <c r="F19" s="3">
        <f t="shared" si="1"/>
        <v>7.0135700000000005</v>
      </c>
    </row>
    <row r="20" spans="1:6" x14ac:dyDescent="0.3">
      <c r="A20" s="3">
        <v>17</v>
      </c>
      <c r="B20" s="3">
        <v>2007.67</v>
      </c>
      <c r="C20" s="4">
        <v>9.0925100000000008</v>
      </c>
      <c r="D20" s="4">
        <v>2.09402</v>
      </c>
      <c r="E20" s="3">
        <f t="shared" si="0"/>
        <v>2.09402</v>
      </c>
      <c r="F20" s="3">
        <f t="shared" si="1"/>
        <v>6.9984900000000003</v>
      </c>
    </row>
    <row r="21" spans="1:6" x14ac:dyDescent="0.3">
      <c r="A21" s="3">
        <v>18</v>
      </c>
      <c r="B21" s="3">
        <v>2007.82</v>
      </c>
      <c r="C21" s="4">
        <v>9.3690300000000004</v>
      </c>
      <c r="D21" s="4">
        <v>2.3001499999999999</v>
      </c>
      <c r="E21" s="3">
        <f t="shared" si="0"/>
        <v>2.3001499999999999</v>
      </c>
      <c r="F21" s="3">
        <f t="shared" si="1"/>
        <v>7.0688800000000001</v>
      </c>
    </row>
    <row r="22" spans="1:6" x14ac:dyDescent="0.3">
      <c r="A22" s="3">
        <v>19</v>
      </c>
      <c r="B22" s="3">
        <v>2007.95</v>
      </c>
      <c r="C22" s="4">
        <v>9.6958300000000008</v>
      </c>
      <c r="D22" s="4">
        <v>2.30518</v>
      </c>
      <c r="E22" s="3">
        <f t="shared" si="0"/>
        <v>2.30518</v>
      </c>
      <c r="F22" s="3">
        <f t="shared" si="1"/>
        <v>7.3906500000000008</v>
      </c>
    </row>
    <row r="23" spans="1:6" x14ac:dyDescent="0.3">
      <c r="A23" s="3">
        <v>20</v>
      </c>
      <c r="B23" s="3">
        <v>2008.06</v>
      </c>
      <c r="C23" s="4">
        <v>10.037699999999999</v>
      </c>
      <c r="D23" s="4">
        <v>2.1945700000000001</v>
      </c>
      <c r="E23" s="3">
        <f t="shared" si="0"/>
        <v>2.1945700000000001</v>
      </c>
      <c r="F23" s="3">
        <f t="shared" si="1"/>
        <v>7.8431299999999986</v>
      </c>
    </row>
    <row r="24" spans="1:6" x14ac:dyDescent="0.3">
      <c r="A24" s="3">
        <v>21</v>
      </c>
      <c r="B24" s="3">
        <v>2008.18</v>
      </c>
      <c r="C24" s="4">
        <v>10.384600000000001</v>
      </c>
      <c r="D24" s="4">
        <v>2.1744599999999998</v>
      </c>
      <c r="E24" s="3">
        <f t="shared" si="0"/>
        <v>2.1744599999999998</v>
      </c>
      <c r="F24" s="3">
        <f t="shared" si="1"/>
        <v>8.2101400000000009</v>
      </c>
    </row>
    <row r="25" spans="1:6" x14ac:dyDescent="0.3">
      <c r="A25" s="3">
        <v>22</v>
      </c>
      <c r="B25" s="3">
        <v>2008.3</v>
      </c>
      <c r="C25" s="4">
        <v>10.7315</v>
      </c>
      <c r="D25" s="4">
        <v>1.23932</v>
      </c>
      <c r="E25" s="3">
        <f t="shared" si="0"/>
        <v>1.23932</v>
      </c>
      <c r="F25" s="3">
        <f t="shared" si="1"/>
        <v>9.4921800000000012</v>
      </c>
    </row>
    <row r="26" spans="1:6" x14ac:dyDescent="0.3">
      <c r="A26" s="3">
        <v>23</v>
      </c>
      <c r="B26" s="3">
        <v>2008.44</v>
      </c>
      <c r="C26" s="4">
        <v>11.0985</v>
      </c>
      <c r="D26" s="4">
        <v>0.92257400000000001</v>
      </c>
      <c r="E26" s="3">
        <f t="shared" si="0"/>
        <v>0.92257400000000001</v>
      </c>
      <c r="F26" s="3">
        <f t="shared" si="1"/>
        <v>10.175926</v>
      </c>
    </row>
    <row r="27" spans="1:6" x14ac:dyDescent="0.3">
      <c r="A27" s="3">
        <v>24</v>
      </c>
      <c r="B27" s="3">
        <v>2008.6</v>
      </c>
      <c r="C27" s="4">
        <v>11.4756</v>
      </c>
      <c r="D27" s="4">
        <v>0.60583200000000004</v>
      </c>
      <c r="E27" s="3">
        <f t="shared" si="0"/>
        <v>0.60583200000000004</v>
      </c>
      <c r="F27" s="3">
        <f t="shared" si="1"/>
        <v>10.869768000000001</v>
      </c>
    </row>
    <row r="28" spans="1:6" x14ac:dyDescent="0.3">
      <c r="A28" s="3">
        <v>25</v>
      </c>
      <c r="B28" s="3">
        <v>2008.6</v>
      </c>
      <c r="C28" s="4">
        <v>11.7974</v>
      </c>
      <c r="D28" s="4">
        <v>3.3609900000000001</v>
      </c>
      <c r="E28" s="3">
        <f t="shared" si="0"/>
        <v>3.3609900000000001</v>
      </c>
      <c r="F28" s="3">
        <f t="shared" si="1"/>
        <v>8.4364099999999986</v>
      </c>
    </row>
    <row r="29" spans="1:6" x14ac:dyDescent="0.3">
      <c r="A29" s="3">
        <v>26</v>
      </c>
      <c r="B29" s="3">
        <v>2008.64</v>
      </c>
      <c r="C29" s="4">
        <v>11.968299999999999</v>
      </c>
      <c r="D29" s="4">
        <v>3.7179500000000001</v>
      </c>
      <c r="E29" s="3">
        <f t="shared" si="0"/>
        <v>3.7179500000000001</v>
      </c>
      <c r="F29" s="3">
        <f t="shared" si="1"/>
        <v>8.2503499999999992</v>
      </c>
    </row>
    <row r="30" spans="1:6" x14ac:dyDescent="0.3">
      <c r="A30" s="3">
        <v>27</v>
      </c>
      <c r="B30" s="3">
        <v>2008.66</v>
      </c>
      <c r="C30" s="4">
        <v>8.0869800000000005</v>
      </c>
      <c r="D30" s="4">
        <v>4.07491</v>
      </c>
      <c r="E30" s="3">
        <f t="shared" si="0"/>
        <v>4.07491</v>
      </c>
      <c r="F30" s="3">
        <f t="shared" si="1"/>
        <v>4.0120700000000005</v>
      </c>
    </row>
    <row r="31" spans="1:6" x14ac:dyDescent="0.3">
      <c r="A31" s="3">
        <v>28</v>
      </c>
      <c r="B31" s="3">
        <v>2008.69</v>
      </c>
      <c r="C31" s="4">
        <v>12.5566</v>
      </c>
      <c r="D31" s="4">
        <v>4.42685</v>
      </c>
      <c r="E31" s="3">
        <f t="shared" si="0"/>
        <v>4.42685</v>
      </c>
      <c r="F31" s="3">
        <f t="shared" si="1"/>
        <v>8.1297499999999996</v>
      </c>
    </row>
    <row r="32" spans="1:6" x14ac:dyDescent="0.3">
      <c r="A32" s="3">
        <v>29</v>
      </c>
      <c r="B32" s="3">
        <v>2008.72</v>
      </c>
      <c r="C32" s="4">
        <v>12.214700000000001</v>
      </c>
      <c r="D32" s="4">
        <v>4.7737600000000002</v>
      </c>
      <c r="E32" s="3">
        <f t="shared" si="0"/>
        <v>4.7737600000000002</v>
      </c>
      <c r="F32" s="3">
        <f t="shared" si="1"/>
        <v>7.4409400000000003</v>
      </c>
    </row>
    <row r="33" spans="1:6" x14ac:dyDescent="0.3">
      <c r="A33" s="3">
        <v>30</v>
      </c>
      <c r="B33" s="3">
        <v>2008.74</v>
      </c>
      <c r="C33" s="4">
        <v>11.857699999999999</v>
      </c>
      <c r="D33" s="4">
        <v>5.12066</v>
      </c>
      <c r="E33" s="3">
        <f t="shared" si="0"/>
        <v>5.12066</v>
      </c>
      <c r="F33" s="3">
        <f t="shared" si="1"/>
        <v>6.7370399999999995</v>
      </c>
    </row>
    <row r="34" spans="1:6" x14ac:dyDescent="0.3">
      <c r="A34" s="3">
        <v>31</v>
      </c>
      <c r="B34" s="3">
        <v>2008.78</v>
      </c>
      <c r="C34" s="4">
        <v>10.827</v>
      </c>
      <c r="D34" s="4">
        <v>5.4725999999999999</v>
      </c>
      <c r="E34" s="3">
        <f t="shared" si="0"/>
        <v>5.4725999999999999</v>
      </c>
      <c r="F34" s="3">
        <f t="shared" si="1"/>
        <v>5.3544</v>
      </c>
    </row>
    <row r="35" spans="1:6" x14ac:dyDescent="0.3">
      <c r="A35" s="3">
        <v>32</v>
      </c>
      <c r="B35" s="3">
        <v>2008.82</v>
      </c>
      <c r="C35" s="4">
        <v>11.179</v>
      </c>
      <c r="D35" s="4">
        <v>5.8345900000000004</v>
      </c>
      <c r="E35" s="3">
        <f t="shared" si="0"/>
        <v>5.8345900000000004</v>
      </c>
      <c r="F35" s="3">
        <f t="shared" si="1"/>
        <v>5.3444099999999999</v>
      </c>
    </row>
    <row r="36" spans="1:6" x14ac:dyDescent="0.3">
      <c r="A36" s="3">
        <v>33</v>
      </c>
      <c r="B36" s="3">
        <v>2008.86</v>
      </c>
      <c r="C36" s="4">
        <v>11.5359</v>
      </c>
      <c r="D36" s="4">
        <v>6.19658</v>
      </c>
      <c r="E36" s="3">
        <f t="shared" si="0"/>
        <v>6.19658</v>
      </c>
      <c r="F36" s="3">
        <f t="shared" si="1"/>
        <v>5.3393199999999998</v>
      </c>
    </row>
    <row r="37" spans="1:6" x14ac:dyDescent="0.3">
      <c r="A37" s="3">
        <v>34</v>
      </c>
      <c r="B37" s="3">
        <v>2008.89</v>
      </c>
      <c r="C37" s="4">
        <v>11.892899999999999</v>
      </c>
      <c r="D37" s="4">
        <v>6.5585699999999996</v>
      </c>
      <c r="E37" s="3">
        <f t="shared" si="0"/>
        <v>6.5585699999999996</v>
      </c>
      <c r="F37" s="3">
        <f t="shared" si="1"/>
        <v>5.3343299999999996</v>
      </c>
    </row>
    <row r="38" spans="1:6" x14ac:dyDescent="0.3">
      <c r="A38" s="3">
        <v>35</v>
      </c>
      <c r="B38" s="3">
        <v>2008.91</v>
      </c>
      <c r="C38" s="4">
        <v>10.475099999999999</v>
      </c>
      <c r="D38" s="4">
        <v>6.91554</v>
      </c>
      <c r="E38" s="3">
        <f t="shared" si="0"/>
        <v>6.91554</v>
      </c>
      <c r="F38" s="3">
        <f t="shared" si="1"/>
        <v>3.5595599999999994</v>
      </c>
    </row>
    <row r="39" spans="1:6" x14ac:dyDescent="0.3">
      <c r="A39" s="3">
        <v>36</v>
      </c>
      <c r="B39" s="3">
        <v>2008.92</v>
      </c>
      <c r="C39" s="4">
        <v>10.123200000000001</v>
      </c>
      <c r="D39" s="4">
        <v>7.2725</v>
      </c>
      <c r="E39" s="3">
        <f t="shared" si="0"/>
        <v>7.2725</v>
      </c>
      <c r="F39" s="3">
        <f t="shared" si="1"/>
        <v>2.8507000000000007</v>
      </c>
    </row>
    <row r="40" spans="1:6" x14ac:dyDescent="0.3">
      <c r="A40" s="3">
        <v>37</v>
      </c>
      <c r="B40" s="3">
        <v>2008.93</v>
      </c>
      <c r="C40" s="4">
        <v>9.7762700000000002</v>
      </c>
      <c r="D40" s="4">
        <v>7.6395200000000001</v>
      </c>
      <c r="E40" s="3">
        <f t="shared" si="0"/>
        <v>7.6395200000000001</v>
      </c>
      <c r="F40" s="3">
        <f t="shared" si="1"/>
        <v>2.1367500000000001</v>
      </c>
    </row>
    <row r="41" spans="1:6" x14ac:dyDescent="0.3">
      <c r="A41" s="3">
        <v>38</v>
      </c>
      <c r="B41" s="3">
        <v>2008.95</v>
      </c>
      <c r="C41" s="4">
        <v>9.4243299999999994</v>
      </c>
      <c r="D41" s="4">
        <v>8.0165900000000008</v>
      </c>
      <c r="E41" s="3">
        <f t="shared" si="0"/>
        <v>8.0165900000000008</v>
      </c>
      <c r="F41" s="3">
        <f t="shared" si="1"/>
        <v>1.4077399999999987</v>
      </c>
    </row>
    <row r="42" spans="1:6" x14ac:dyDescent="0.3">
      <c r="A42" s="3">
        <v>39</v>
      </c>
      <c r="B42" s="3">
        <v>2008.97</v>
      </c>
      <c r="C42" s="4">
        <v>9.0673700000000004</v>
      </c>
      <c r="D42" s="4">
        <v>8.3232800000000005</v>
      </c>
      <c r="E42" s="3">
        <f t="shared" si="0"/>
        <v>8.3232800000000005</v>
      </c>
      <c r="F42" s="3">
        <f t="shared" si="1"/>
        <v>0.74408999999999992</v>
      </c>
    </row>
    <row r="43" spans="1:6" x14ac:dyDescent="0.3">
      <c r="A43" s="3">
        <v>40</v>
      </c>
      <c r="B43" s="3">
        <v>2008.99</v>
      </c>
      <c r="C43" s="4">
        <v>8.7053799999999999</v>
      </c>
      <c r="D43" s="4">
        <v>8.4439399999999996</v>
      </c>
      <c r="E43" s="3">
        <f t="shared" si="0"/>
        <v>8.4439399999999996</v>
      </c>
      <c r="F43" s="3">
        <f t="shared" si="1"/>
        <v>0.26144000000000034</v>
      </c>
    </row>
    <row r="44" spans="1:6" x14ac:dyDescent="0.3">
      <c r="A44" s="3">
        <v>41</v>
      </c>
      <c r="B44" s="3">
        <v>2009.02</v>
      </c>
      <c r="C44" s="4">
        <v>8.3584700000000005</v>
      </c>
      <c r="D44" s="4">
        <v>3.0040200000000001</v>
      </c>
      <c r="E44" s="3">
        <f t="shared" si="0"/>
        <v>3.0040200000000001</v>
      </c>
      <c r="F44" s="3">
        <f t="shared" si="1"/>
        <v>5.3544499999999999</v>
      </c>
    </row>
    <row r="45" spans="1:6" x14ac:dyDescent="0.3">
      <c r="A45" s="3">
        <v>42</v>
      </c>
      <c r="B45" s="3">
        <v>2009.08</v>
      </c>
      <c r="C45" s="4">
        <v>8.0216200000000004</v>
      </c>
      <c r="D45" s="4">
        <v>2.6470600000000002</v>
      </c>
      <c r="E45" s="3">
        <f t="shared" si="0"/>
        <v>2.6470600000000002</v>
      </c>
      <c r="F45" s="3">
        <f t="shared" si="1"/>
        <v>5.3745600000000007</v>
      </c>
    </row>
    <row r="46" spans="1:6" x14ac:dyDescent="0.3">
      <c r="A46" s="3">
        <v>43</v>
      </c>
      <c r="B46" s="3">
        <v>2009.24</v>
      </c>
      <c r="C46" s="4">
        <v>7.6847700000000003</v>
      </c>
      <c r="D46" s="4">
        <v>2.2951199999999998</v>
      </c>
      <c r="E46" s="3">
        <f t="shared" si="0"/>
        <v>2.2951199999999998</v>
      </c>
      <c r="F46" s="3">
        <f t="shared" si="1"/>
        <v>5.3896500000000005</v>
      </c>
    </row>
    <row r="47" spans="1:6" x14ac:dyDescent="0.3">
      <c r="A47" s="3">
        <v>44</v>
      </c>
      <c r="B47" s="3">
        <v>2009.24</v>
      </c>
      <c r="C47" s="4">
        <v>7.33786</v>
      </c>
      <c r="D47" s="4">
        <v>7.6596299999999999</v>
      </c>
      <c r="E47" s="3">
        <f t="shared" si="0"/>
        <v>7.33786</v>
      </c>
      <c r="F47" s="3">
        <f t="shared" si="1"/>
        <v>0.32176999999999989</v>
      </c>
    </row>
    <row r="48" spans="1:6" x14ac:dyDescent="0.3">
      <c r="A48" s="3">
        <v>45</v>
      </c>
      <c r="B48" s="3">
        <v>2009.32</v>
      </c>
      <c r="C48" s="4">
        <v>7.0160900000000002</v>
      </c>
      <c r="D48" s="4">
        <v>7.9813999999999998</v>
      </c>
      <c r="E48" s="3">
        <f t="shared" si="0"/>
        <v>7.0160900000000002</v>
      </c>
      <c r="F48" s="3">
        <f t="shared" si="1"/>
        <v>0.96530999999999967</v>
      </c>
    </row>
    <row r="49" spans="1:6" x14ac:dyDescent="0.3">
      <c r="A49" s="3">
        <v>46</v>
      </c>
      <c r="B49" s="3">
        <v>2009.39</v>
      </c>
      <c r="C49" s="4">
        <v>6.8552</v>
      </c>
      <c r="D49" s="4">
        <v>8.3081999999999994</v>
      </c>
      <c r="E49" s="3">
        <f t="shared" si="0"/>
        <v>6.8552</v>
      </c>
      <c r="F49" s="3">
        <f t="shared" si="1"/>
        <v>1.4529999999999994</v>
      </c>
    </row>
    <row r="50" spans="1:6" x14ac:dyDescent="0.3">
      <c r="A50" s="3">
        <v>47</v>
      </c>
      <c r="B50" s="3">
        <v>2009.44</v>
      </c>
      <c r="C50" s="4">
        <v>6.9356499999999999</v>
      </c>
      <c r="D50" s="4">
        <v>7.3127199999999997</v>
      </c>
      <c r="E50" s="3">
        <f t="shared" si="0"/>
        <v>6.9356499999999999</v>
      </c>
      <c r="F50" s="3">
        <f t="shared" si="1"/>
        <v>0.37706999999999979</v>
      </c>
    </row>
    <row r="51" spans="1:6" x14ac:dyDescent="0.3">
      <c r="A51" s="3">
        <v>48</v>
      </c>
      <c r="B51" s="3">
        <v>2009.5</v>
      </c>
      <c r="C51" s="4">
        <v>7.2071399999999999</v>
      </c>
      <c r="D51" s="4">
        <v>6.9758699999999996</v>
      </c>
      <c r="E51" s="3">
        <f t="shared" si="0"/>
        <v>6.9758699999999996</v>
      </c>
      <c r="F51" s="3">
        <f t="shared" si="1"/>
        <v>0.23127000000000031</v>
      </c>
    </row>
    <row r="52" spans="1:6" x14ac:dyDescent="0.3">
      <c r="A52" s="3">
        <v>49</v>
      </c>
      <c r="B52" s="3">
        <v>2009.52</v>
      </c>
      <c r="C52" s="4">
        <v>7.5540500000000002</v>
      </c>
      <c r="D52" s="4">
        <v>6.6440400000000004</v>
      </c>
      <c r="E52" s="3">
        <f t="shared" si="0"/>
        <v>6.6440400000000004</v>
      </c>
      <c r="F52" s="3">
        <f t="shared" si="1"/>
        <v>0.91000999999999976</v>
      </c>
    </row>
    <row r="53" spans="1:6" x14ac:dyDescent="0.3">
      <c r="A53" s="3">
        <v>50</v>
      </c>
      <c r="B53" s="3">
        <v>2009.53</v>
      </c>
      <c r="C53" s="4">
        <v>7.8858699999999997</v>
      </c>
      <c r="D53" s="4">
        <v>6.3122199999999999</v>
      </c>
      <c r="E53" s="3">
        <f t="shared" si="0"/>
        <v>6.3122199999999999</v>
      </c>
      <c r="F53" s="3">
        <f t="shared" si="1"/>
        <v>1.5736499999999998</v>
      </c>
    </row>
    <row r="54" spans="1:6" x14ac:dyDescent="0.3">
      <c r="A54" s="3">
        <v>51</v>
      </c>
      <c r="B54" s="3">
        <v>2009.54</v>
      </c>
      <c r="C54" s="4">
        <v>8.1875300000000006</v>
      </c>
      <c r="D54" s="4">
        <v>5.9653099999999997</v>
      </c>
      <c r="E54" s="3">
        <f t="shared" si="0"/>
        <v>5.9653099999999997</v>
      </c>
      <c r="F54" s="3">
        <f t="shared" si="1"/>
        <v>2.222220000000001</v>
      </c>
    </row>
    <row r="55" spans="1:6" x14ac:dyDescent="0.3">
      <c r="A55" s="3">
        <v>52</v>
      </c>
      <c r="B55" s="3">
        <v>2009.57</v>
      </c>
      <c r="C55" s="4">
        <v>8.49925</v>
      </c>
      <c r="D55" s="4">
        <v>5.6083499999999997</v>
      </c>
      <c r="E55" s="3">
        <f t="shared" si="0"/>
        <v>5.6083499999999997</v>
      </c>
      <c r="F55" s="3">
        <f t="shared" si="1"/>
        <v>2.8909000000000002</v>
      </c>
    </row>
    <row r="56" spans="1:6" x14ac:dyDescent="0.3">
      <c r="A56" s="3">
        <v>53</v>
      </c>
      <c r="B56" s="3">
        <v>2009.59</v>
      </c>
      <c r="C56" s="4">
        <v>8.8210200000000007</v>
      </c>
      <c r="D56" s="4">
        <v>5.2513800000000002</v>
      </c>
      <c r="E56" s="3">
        <f t="shared" si="0"/>
        <v>5.2513800000000002</v>
      </c>
      <c r="F56" s="3">
        <f t="shared" si="1"/>
        <v>3.5696400000000006</v>
      </c>
    </row>
    <row r="57" spans="1:6" x14ac:dyDescent="0.3">
      <c r="A57" s="3">
        <v>54</v>
      </c>
      <c r="B57" s="3">
        <v>2009.62</v>
      </c>
      <c r="C57" s="4">
        <v>9.1427899999999998</v>
      </c>
      <c r="D57" s="4">
        <v>4.8944200000000002</v>
      </c>
      <c r="E57" s="3">
        <f t="shared" si="0"/>
        <v>4.8944200000000002</v>
      </c>
      <c r="F57" s="3">
        <f t="shared" si="1"/>
        <v>4.2483699999999995</v>
      </c>
    </row>
    <row r="58" spans="1:6" x14ac:dyDescent="0.3">
      <c r="A58" s="3">
        <v>55</v>
      </c>
      <c r="B58" s="3">
        <v>2009.64</v>
      </c>
      <c r="C58" s="4">
        <v>8.4037199999999999</v>
      </c>
      <c r="D58" s="4">
        <v>4.5324299999999997</v>
      </c>
      <c r="E58" s="3">
        <f t="shared" si="0"/>
        <v>4.5324299999999997</v>
      </c>
      <c r="F58" s="3">
        <f t="shared" si="1"/>
        <v>3.8712900000000001</v>
      </c>
    </row>
    <row r="59" spans="1:6" x14ac:dyDescent="0.3">
      <c r="A59" s="3">
        <v>56</v>
      </c>
      <c r="B59" s="3">
        <v>2009.66</v>
      </c>
      <c r="C59" s="4">
        <v>8.6651600000000002</v>
      </c>
      <c r="D59" s="4">
        <v>4.1754699999999998</v>
      </c>
      <c r="E59" s="3">
        <f t="shared" si="0"/>
        <v>4.1754699999999998</v>
      </c>
      <c r="F59" s="3">
        <f t="shared" si="1"/>
        <v>4.4896900000000004</v>
      </c>
    </row>
    <row r="60" spans="1:6" x14ac:dyDescent="0.3">
      <c r="A60" s="3">
        <v>57</v>
      </c>
      <c r="B60" s="3">
        <v>2009.68</v>
      </c>
      <c r="C60" s="4">
        <v>8.8712900000000001</v>
      </c>
      <c r="D60" s="4">
        <v>3.8184999999999998</v>
      </c>
      <c r="E60" s="3">
        <f t="shared" si="0"/>
        <v>3.8184999999999998</v>
      </c>
      <c r="F60" s="3">
        <f t="shared" si="1"/>
        <v>5.0527899999999999</v>
      </c>
    </row>
    <row r="61" spans="1:6" x14ac:dyDescent="0.3">
      <c r="A61" s="3">
        <v>58</v>
      </c>
      <c r="B61" s="3">
        <v>2009.7</v>
      </c>
      <c r="C61" s="4">
        <v>9.0271500000000007</v>
      </c>
      <c r="D61" s="4">
        <v>3.4565100000000002</v>
      </c>
      <c r="E61" s="3">
        <f t="shared" si="0"/>
        <v>3.4565100000000002</v>
      </c>
      <c r="F61" s="3">
        <f t="shared" si="1"/>
        <v>5.5706400000000009</v>
      </c>
    </row>
    <row r="62" spans="1:6" x14ac:dyDescent="0.3">
      <c r="A62" s="3">
        <v>59</v>
      </c>
      <c r="B62" s="3">
        <v>2009.72</v>
      </c>
      <c r="C62" s="4">
        <v>9.2282600000000006</v>
      </c>
      <c r="D62" s="4">
        <v>3.0995499999999998</v>
      </c>
      <c r="E62" s="3">
        <f t="shared" si="0"/>
        <v>3.0995499999999998</v>
      </c>
      <c r="F62" s="3">
        <f t="shared" si="1"/>
        <v>6.1287100000000008</v>
      </c>
    </row>
    <row r="63" spans="1:6" x14ac:dyDescent="0.3">
      <c r="A63" s="3">
        <v>60</v>
      </c>
      <c r="B63" s="3">
        <v>2009.75</v>
      </c>
      <c r="C63" s="4">
        <v>9.5198599999999995</v>
      </c>
      <c r="D63" s="4">
        <v>2.7425799999999998</v>
      </c>
      <c r="E63" s="3">
        <f t="shared" si="0"/>
        <v>2.7425799999999998</v>
      </c>
      <c r="F63" s="3">
        <f t="shared" si="1"/>
        <v>6.7772799999999993</v>
      </c>
    </row>
    <row r="64" spans="1:6" x14ac:dyDescent="0.3">
      <c r="A64" s="3">
        <v>61</v>
      </c>
      <c r="B64" s="3">
        <v>2009.77</v>
      </c>
      <c r="C64" s="4">
        <v>9.8315699999999993</v>
      </c>
      <c r="D64" s="4">
        <v>2.3856199999999999</v>
      </c>
      <c r="E64" s="3">
        <f t="shared" si="0"/>
        <v>2.3856199999999999</v>
      </c>
      <c r="F64" s="3">
        <f t="shared" si="1"/>
        <v>7.4459499999999998</v>
      </c>
    </row>
    <row r="65" spans="1:6" x14ac:dyDescent="0.3">
      <c r="A65" s="3">
        <v>62</v>
      </c>
      <c r="B65" s="3">
        <v>2009.79</v>
      </c>
      <c r="C65" s="4">
        <v>10.062799999999999</v>
      </c>
      <c r="D65" s="4">
        <v>2.0286599999999999</v>
      </c>
      <c r="E65" s="3">
        <f t="shared" si="0"/>
        <v>2.0286599999999999</v>
      </c>
      <c r="F65" s="3">
        <f t="shared" si="1"/>
        <v>8.0341399999999989</v>
      </c>
    </row>
    <row r="66" spans="1:6" x14ac:dyDescent="0.3">
      <c r="A66" s="3">
        <v>63</v>
      </c>
      <c r="B66" s="3">
        <v>2009.82</v>
      </c>
      <c r="C66" s="4">
        <v>8.53444</v>
      </c>
      <c r="D66" s="4">
        <v>1.6716899999999999</v>
      </c>
      <c r="E66" s="3">
        <f t="shared" si="0"/>
        <v>1.6716899999999999</v>
      </c>
      <c r="F66" s="3">
        <f t="shared" si="1"/>
        <v>6.8627500000000001</v>
      </c>
    </row>
    <row r="67" spans="1:6" x14ac:dyDescent="0.3">
      <c r="A67" s="3">
        <v>64</v>
      </c>
      <c r="B67" s="3">
        <v>2009.85</v>
      </c>
      <c r="C67" s="4">
        <v>8.8562100000000008</v>
      </c>
      <c r="D67" s="4">
        <v>1.31473</v>
      </c>
      <c r="E67" s="3">
        <f t="shared" si="0"/>
        <v>1.31473</v>
      </c>
      <c r="F67" s="3">
        <f t="shared" si="1"/>
        <v>7.5414800000000008</v>
      </c>
    </row>
    <row r="68" spans="1:6" x14ac:dyDescent="0.3">
      <c r="A68" s="3">
        <v>65</v>
      </c>
      <c r="B68" s="3">
        <v>2009.88</v>
      </c>
      <c r="C68" s="4">
        <v>9.1427899999999998</v>
      </c>
      <c r="D68" s="4">
        <v>0.95776799999999995</v>
      </c>
      <c r="E68" s="3">
        <f t="shared" si="0"/>
        <v>0.95776799999999995</v>
      </c>
      <c r="F68" s="3">
        <f t="shared" si="1"/>
        <v>8.185022</v>
      </c>
    </row>
    <row r="69" spans="1:6" x14ac:dyDescent="0.3">
      <c r="A69" s="3">
        <v>66</v>
      </c>
      <c r="B69" s="3">
        <v>2009.91</v>
      </c>
      <c r="C69" s="4">
        <v>9.2785299999999999</v>
      </c>
      <c r="D69" s="4">
        <v>0.595777</v>
      </c>
      <c r="E69" s="3">
        <f t="shared" ref="E69:E128" si="2">MIN(C69:D69)</f>
        <v>0.595777</v>
      </c>
      <c r="F69" s="3">
        <f t="shared" ref="F69:F128" si="3">ABS(C69-D69)</f>
        <v>8.6827529999999999</v>
      </c>
    </row>
    <row r="70" spans="1:6" x14ac:dyDescent="0.3">
      <c r="A70" s="3">
        <v>67</v>
      </c>
      <c r="B70" s="3">
        <v>2009.96</v>
      </c>
      <c r="C70" s="4">
        <v>9.5550499999999996</v>
      </c>
      <c r="D70" s="4">
        <v>0.238813</v>
      </c>
      <c r="E70" s="3">
        <f t="shared" si="2"/>
        <v>0.238813</v>
      </c>
      <c r="F70" s="3">
        <f t="shared" si="3"/>
        <v>9.3162369999999992</v>
      </c>
    </row>
    <row r="71" spans="1:6" x14ac:dyDescent="0.3">
      <c r="A71" s="3">
        <v>68</v>
      </c>
      <c r="B71" s="3">
        <v>2010.02</v>
      </c>
      <c r="C71" s="4">
        <v>9.8919099999999993</v>
      </c>
      <c r="D71" s="4">
        <v>-8.2956299999999997E-2</v>
      </c>
      <c r="E71" s="3">
        <f t="shared" si="2"/>
        <v>-8.2956299999999997E-2</v>
      </c>
      <c r="F71" s="3">
        <f t="shared" si="3"/>
        <v>9.9748662999999986</v>
      </c>
    </row>
    <row r="72" spans="1:6" x14ac:dyDescent="0.3">
      <c r="A72" s="3">
        <v>69</v>
      </c>
      <c r="B72" s="3">
        <v>2010.14</v>
      </c>
      <c r="C72" s="4">
        <v>9.4544999999999995</v>
      </c>
      <c r="D72" s="4">
        <v>-0.33936699999999997</v>
      </c>
      <c r="E72" s="3">
        <f t="shared" si="2"/>
        <v>-0.33936699999999997</v>
      </c>
      <c r="F72" s="3">
        <f t="shared" si="3"/>
        <v>9.7938669999999988</v>
      </c>
    </row>
    <row r="73" spans="1:6" x14ac:dyDescent="0.3">
      <c r="A73" s="3">
        <v>70</v>
      </c>
      <c r="B73" s="3">
        <v>2010.18</v>
      </c>
      <c r="C73" s="4">
        <v>9.7008500000000009</v>
      </c>
      <c r="D73" s="4">
        <v>-0.32428400000000002</v>
      </c>
      <c r="E73" s="3">
        <f t="shared" si="2"/>
        <v>-0.32428400000000002</v>
      </c>
      <c r="F73" s="3">
        <f t="shared" si="3"/>
        <v>10.025134000000001</v>
      </c>
    </row>
    <row r="74" spans="1:6" x14ac:dyDescent="0.3">
      <c r="A74" s="3">
        <v>71</v>
      </c>
      <c r="B74" s="3">
        <v>2010.34</v>
      </c>
      <c r="C74" s="4">
        <v>9.9421800000000005</v>
      </c>
      <c r="D74" s="4">
        <v>-0.34942200000000001</v>
      </c>
      <c r="E74" s="3">
        <f t="shared" si="2"/>
        <v>-0.34942200000000001</v>
      </c>
      <c r="F74" s="3">
        <f t="shared" si="3"/>
        <v>10.291602000000001</v>
      </c>
    </row>
    <row r="75" spans="1:6" x14ac:dyDescent="0.3">
      <c r="A75" s="3">
        <v>72</v>
      </c>
      <c r="B75" s="3">
        <v>2010.5</v>
      </c>
      <c r="C75" s="4">
        <v>10.087999999999999</v>
      </c>
      <c r="D75" s="4">
        <v>-0.30417300000000003</v>
      </c>
      <c r="E75" s="3">
        <f t="shared" si="2"/>
        <v>-0.30417300000000003</v>
      </c>
      <c r="F75" s="3">
        <f t="shared" si="3"/>
        <v>10.392173</v>
      </c>
    </row>
    <row r="76" spans="1:6" x14ac:dyDescent="0.3">
      <c r="A76" s="3">
        <v>73</v>
      </c>
      <c r="B76" s="3">
        <v>2010.56</v>
      </c>
      <c r="C76" s="4">
        <v>8.5394699999999997</v>
      </c>
      <c r="D76" s="4">
        <v>-0.28406199999999998</v>
      </c>
      <c r="E76" s="3">
        <f t="shared" si="2"/>
        <v>-0.28406199999999998</v>
      </c>
      <c r="F76" s="3">
        <f t="shared" si="3"/>
        <v>8.8235320000000002</v>
      </c>
    </row>
    <row r="77" spans="1:6" x14ac:dyDescent="0.3">
      <c r="A77" s="3">
        <v>74</v>
      </c>
      <c r="B77" s="3">
        <v>2010.59</v>
      </c>
      <c r="C77" s="4">
        <v>8.2981400000000001</v>
      </c>
      <c r="D77" s="4">
        <v>-0.19356499999999999</v>
      </c>
      <c r="E77" s="3">
        <f t="shared" si="2"/>
        <v>-0.19356499999999999</v>
      </c>
      <c r="F77" s="3">
        <f t="shared" si="3"/>
        <v>8.4917049999999996</v>
      </c>
    </row>
    <row r="78" spans="1:6" x14ac:dyDescent="0.3">
      <c r="A78" s="3">
        <v>75</v>
      </c>
      <c r="B78" s="3">
        <v>2010.6</v>
      </c>
      <c r="C78" s="4">
        <v>8.1372499999999999</v>
      </c>
      <c r="D78" s="4">
        <v>-0.66616399999999998</v>
      </c>
      <c r="E78" s="3">
        <f t="shared" si="2"/>
        <v>-0.66616399999999998</v>
      </c>
      <c r="F78" s="3">
        <f t="shared" si="3"/>
        <v>8.8034140000000001</v>
      </c>
    </row>
    <row r="79" spans="1:6" x14ac:dyDescent="0.3">
      <c r="A79" s="3">
        <v>76</v>
      </c>
      <c r="B79" s="3">
        <v>2010.67</v>
      </c>
      <c r="C79" s="4">
        <v>8.0266500000000001</v>
      </c>
      <c r="D79" s="4">
        <v>-1.25691E-2</v>
      </c>
      <c r="E79" s="3">
        <f t="shared" si="2"/>
        <v>-1.25691E-2</v>
      </c>
      <c r="F79" s="3">
        <f t="shared" si="3"/>
        <v>8.0392191000000004</v>
      </c>
    </row>
    <row r="80" spans="1:6" x14ac:dyDescent="0.3">
      <c r="A80" s="3">
        <v>77</v>
      </c>
      <c r="B80" s="3">
        <v>2010.83</v>
      </c>
      <c r="C80" s="4">
        <v>7.9009600000000004</v>
      </c>
      <c r="D80" s="4">
        <v>-0.62091499999999999</v>
      </c>
      <c r="E80" s="3">
        <f t="shared" si="2"/>
        <v>-0.62091499999999999</v>
      </c>
      <c r="F80" s="3">
        <f t="shared" si="3"/>
        <v>8.5218749999999996</v>
      </c>
    </row>
    <row r="81" spans="1:6" x14ac:dyDescent="0.3">
      <c r="A81" s="3">
        <v>78</v>
      </c>
      <c r="B81" s="3">
        <v>2010.85</v>
      </c>
      <c r="C81" s="4">
        <v>7.6998499999999996</v>
      </c>
      <c r="D81" s="4">
        <v>-0.721468</v>
      </c>
      <c r="E81" s="3">
        <f t="shared" si="2"/>
        <v>-0.721468</v>
      </c>
      <c r="F81" s="3">
        <f t="shared" si="3"/>
        <v>8.4213179999999994</v>
      </c>
    </row>
    <row r="82" spans="1:6" x14ac:dyDescent="0.3">
      <c r="A82" s="3">
        <v>79</v>
      </c>
      <c r="B82" s="3">
        <v>2010.95</v>
      </c>
      <c r="C82" s="4">
        <v>7.4384100000000002</v>
      </c>
      <c r="D82" s="4">
        <v>-0.70638500000000004</v>
      </c>
      <c r="E82" s="3">
        <f t="shared" si="2"/>
        <v>-0.70638500000000004</v>
      </c>
      <c r="F82" s="3">
        <f t="shared" si="3"/>
        <v>8.1447950000000002</v>
      </c>
    </row>
    <row r="83" spans="1:6" x14ac:dyDescent="0.3">
      <c r="A83" s="3">
        <v>80</v>
      </c>
      <c r="B83" s="3">
        <v>2011.11</v>
      </c>
      <c r="C83" s="4">
        <v>7.1669200000000002</v>
      </c>
      <c r="D83" s="4">
        <v>-0.65108100000000002</v>
      </c>
      <c r="E83" s="3">
        <f t="shared" si="2"/>
        <v>-0.65108100000000002</v>
      </c>
      <c r="F83" s="3">
        <f t="shared" si="3"/>
        <v>7.8180010000000006</v>
      </c>
    </row>
    <row r="84" spans="1:6" x14ac:dyDescent="0.3">
      <c r="A84" s="3">
        <v>81</v>
      </c>
      <c r="B84" s="3">
        <v>2011.28</v>
      </c>
      <c r="C84" s="4">
        <v>6.9607799999999997</v>
      </c>
      <c r="D84" s="4">
        <v>-0.54047299999999998</v>
      </c>
      <c r="E84" s="3">
        <f t="shared" si="2"/>
        <v>-0.54047299999999998</v>
      </c>
      <c r="F84" s="3">
        <f t="shared" si="3"/>
        <v>7.5012530000000002</v>
      </c>
    </row>
    <row r="85" spans="1:6" x14ac:dyDescent="0.3">
      <c r="A85" s="3">
        <v>82</v>
      </c>
      <c r="B85" s="3">
        <v>2011.43</v>
      </c>
      <c r="C85" s="4">
        <v>8.7657100000000003</v>
      </c>
      <c r="D85" s="4">
        <v>-0.32931100000000002</v>
      </c>
      <c r="E85" s="3">
        <f t="shared" si="2"/>
        <v>-0.32931100000000002</v>
      </c>
      <c r="F85" s="3">
        <f t="shared" si="3"/>
        <v>9.0950210000000009</v>
      </c>
    </row>
    <row r="86" spans="1:6" x14ac:dyDescent="0.3">
      <c r="A86" s="3">
        <v>83</v>
      </c>
      <c r="B86" s="3">
        <v>2011.55</v>
      </c>
      <c r="C86" s="4">
        <v>9.0673700000000004</v>
      </c>
      <c r="D86" s="4">
        <v>-5.2790299999999998E-2</v>
      </c>
      <c r="E86" s="3">
        <f t="shared" si="2"/>
        <v>-5.2790299999999998E-2</v>
      </c>
      <c r="F86" s="3">
        <f t="shared" si="3"/>
        <v>9.1201603000000002</v>
      </c>
    </row>
    <row r="87" spans="1:6" x14ac:dyDescent="0.3">
      <c r="A87" s="3">
        <v>84</v>
      </c>
      <c r="B87" s="3">
        <v>2011.64</v>
      </c>
      <c r="C87" s="4">
        <v>9.3690300000000004</v>
      </c>
      <c r="D87" s="4">
        <v>0.23378599999999999</v>
      </c>
      <c r="E87" s="3">
        <f t="shared" si="2"/>
        <v>0.23378599999999999</v>
      </c>
      <c r="F87" s="3">
        <f t="shared" si="3"/>
        <v>9.1352440000000001</v>
      </c>
    </row>
    <row r="88" spans="1:6" x14ac:dyDescent="0.3">
      <c r="A88" s="3">
        <v>85</v>
      </c>
      <c r="B88" s="3">
        <v>2011.75</v>
      </c>
      <c r="C88" s="4">
        <v>7.0362</v>
      </c>
      <c r="D88" s="4">
        <v>0.50527900000000003</v>
      </c>
      <c r="E88" s="3">
        <f t="shared" si="2"/>
        <v>0.50527900000000003</v>
      </c>
      <c r="F88" s="3">
        <f t="shared" si="3"/>
        <v>6.5309210000000002</v>
      </c>
    </row>
    <row r="89" spans="1:6" x14ac:dyDescent="0.3">
      <c r="A89" s="3">
        <v>86</v>
      </c>
      <c r="B89" s="3">
        <v>2011.87</v>
      </c>
      <c r="C89" s="4">
        <v>6.8250400000000004</v>
      </c>
      <c r="D89" s="4">
        <v>0.68124700000000005</v>
      </c>
      <c r="E89" s="3">
        <f t="shared" si="2"/>
        <v>0.68124700000000005</v>
      </c>
      <c r="F89" s="3">
        <f t="shared" si="3"/>
        <v>6.1437930000000005</v>
      </c>
    </row>
    <row r="90" spans="1:6" x14ac:dyDescent="0.3">
      <c r="A90" s="3">
        <v>87</v>
      </c>
      <c r="B90" s="3">
        <v>2012.01</v>
      </c>
      <c r="C90" s="4">
        <v>6.8501799999999999</v>
      </c>
      <c r="D90" s="4">
        <v>0.67621900000000001</v>
      </c>
      <c r="E90" s="3">
        <f t="shared" si="2"/>
        <v>0.67621900000000001</v>
      </c>
      <c r="F90" s="3">
        <f t="shared" si="3"/>
        <v>6.1739610000000003</v>
      </c>
    </row>
    <row r="91" spans="1:6" x14ac:dyDescent="0.3">
      <c r="A91" s="3">
        <v>88</v>
      </c>
      <c r="B91" s="3">
        <v>2012.14</v>
      </c>
      <c r="C91" s="4">
        <v>6.9105100000000004</v>
      </c>
      <c r="D91" s="4">
        <v>0.495224</v>
      </c>
      <c r="E91" s="3">
        <f t="shared" si="2"/>
        <v>0.495224</v>
      </c>
      <c r="F91" s="3">
        <f t="shared" si="3"/>
        <v>6.415286</v>
      </c>
    </row>
    <row r="92" spans="1:6" x14ac:dyDescent="0.3">
      <c r="A92" s="3">
        <v>89</v>
      </c>
      <c r="B92" s="3">
        <v>2012.26</v>
      </c>
      <c r="C92" s="4">
        <v>6.8350900000000001</v>
      </c>
      <c r="D92" s="4">
        <v>0.22373100000000001</v>
      </c>
      <c r="E92" s="3">
        <f t="shared" si="2"/>
        <v>0.22373100000000001</v>
      </c>
      <c r="F92" s="3">
        <f t="shared" si="3"/>
        <v>6.6113590000000002</v>
      </c>
    </row>
    <row r="93" spans="1:6" x14ac:dyDescent="0.3">
      <c r="A93" s="3">
        <v>90</v>
      </c>
      <c r="B93" s="3">
        <v>2012.38</v>
      </c>
      <c r="C93" s="4">
        <v>6.5987900000000002</v>
      </c>
      <c r="D93" s="4">
        <v>-7.5414799999999997E-3</v>
      </c>
      <c r="E93" s="3">
        <f t="shared" si="2"/>
        <v>-7.5414799999999997E-3</v>
      </c>
      <c r="F93" s="3">
        <f t="shared" si="3"/>
        <v>6.6063314800000006</v>
      </c>
    </row>
    <row r="94" spans="1:6" x14ac:dyDescent="0.3">
      <c r="A94" s="3">
        <v>91</v>
      </c>
      <c r="B94" s="3">
        <v>2012.5</v>
      </c>
      <c r="C94" s="4">
        <v>6.2971300000000001</v>
      </c>
      <c r="D94" s="4">
        <v>-0.11815000000000001</v>
      </c>
      <c r="E94" s="3">
        <f t="shared" si="2"/>
        <v>-0.11815000000000001</v>
      </c>
      <c r="F94" s="3">
        <f t="shared" si="3"/>
        <v>6.4152800000000001</v>
      </c>
    </row>
    <row r="95" spans="1:6" x14ac:dyDescent="0.3">
      <c r="A95" s="3">
        <v>92</v>
      </c>
      <c r="B95" s="3">
        <v>2012.65</v>
      </c>
      <c r="C95" s="4">
        <v>6.07592</v>
      </c>
      <c r="D95" s="4">
        <v>-0.18350900000000001</v>
      </c>
      <c r="E95" s="3">
        <f t="shared" si="2"/>
        <v>-0.18350900000000001</v>
      </c>
      <c r="F95" s="3">
        <f t="shared" si="3"/>
        <v>6.2594289999999999</v>
      </c>
    </row>
    <row r="96" spans="1:6" x14ac:dyDescent="0.3">
      <c r="A96" s="3">
        <v>93</v>
      </c>
      <c r="B96" s="3">
        <v>2012.81</v>
      </c>
      <c r="C96" s="4">
        <v>6.0256400000000001</v>
      </c>
      <c r="D96" s="4">
        <v>-0.34942200000000001</v>
      </c>
      <c r="E96" s="3">
        <f t="shared" si="2"/>
        <v>-0.34942200000000001</v>
      </c>
      <c r="F96" s="3">
        <f t="shared" si="3"/>
        <v>6.3750619999999998</v>
      </c>
    </row>
    <row r="97" spans="1:6" x14ac:dyDescent="0.3">
      <c r="A97" s="3">
        <v>94</v>
      </c>
      <c r="B97" s="3">
        <v>2012.95</v>
      </c>
      <c r="C97" s="4">
        <v>6.0910000000000002</v>
      </c>
      <c r="D97" s="4">
        <v>-0.434892</v>
      </c>
      <c r="E97" s="3">
        <f t="shared" si="2"/>
        <v>-0.434892</v>
      </c>
      <c r="F97" s="3">
        <f t="shared" si="3"/>
        <v>6.5258919999999998</v>
      </c>
    </row>
    <row r="98" spans="1:6" x14ac:dyDescent="0.3">
      <c r="A98" s="3">
        <v>95</v>
      </c>
      <c r="B98" s="3">
        <v>2012.97</v>
      </c>
      <c r="C98" s="4">
        <v>6.1613899999999999</v>
      </c>
      <c r="D98" s="4">
        <v>0.37958799999999998</v>
      </c>
      <c r="E98" s="3">
        <f t="shared" si="2"/>
        <v>0.37958799999999998</v>
      </c>
      <c r="F98" s="3">
        <f t="shared" si="3"/>
        <v>5.7818019999999999</v>
      </c>
    </row>
    <row r="99" spans="1:6" x14ac:dyDescent="0.3">
      <c r="A99" s="3">
        <v>96</v>
      </c>
      <c r="B99" s="3">
        <v>2013.12</v>
      </c>
      <c r="C99" s="4">
        <v>6.19658</v>
      </c>
      <c r="D99" s="4">
        <v>0.38461499999999998</v>
      </c>
      <c r="E99" s="3">
        <f t="shared" si="2"/>
        <v>0.38461499999999998</v>
      </c>
      <c r="F99" s="3">
        <f t="shared" si="3"/>
        <v>5.8119649999999998</v>
      </c>
    </row>
    <row r="100" spans="1:6" x14ac:dyDescent="0.3">
      <c r="A100" s="3">
        <v>97</v>
      </c>
      <c r="B100" s="3">
        <v>2013.25</v>
      </c>
      <c r="C100" s="4">
        <v>6.1563600000000003</v>
      </c>
      <c r="D100" s="4">
        <v>0.35947699999999999</v>
      </c>
      <c r="E100" s="3">
        <f t="shared" si="2"/>
        <v>0.35947699999999999</v>
      </c>
      <c r="F100" s="3">
        <f t="shared" si="3"/>
        <v>5.7968830000000002</v>
      </c>
    </row>
    <row r="101" spans="1:6" x14ac:dyDescent="0.3">
      <c r="A101" s="3">
        <v>98</v>
      </c>
      <c r="B101" s="3">
        <v>2013.39</v>
      </c>
      <c r="C101" s="4">
        <v>6.0357000000000003</v>
      </c>
      <c r="D101" s="4">
        <v>0.33936699999999997</v>
      </c>
      <c r="E101" s="3">
        <f t="shared" si="2"/>
        <v>0.33936699999999997</v>
      </c>
      <c r="F101" s="3">
        <f t="shared" si="3"/>
        <v>5.6963330000000001</v>
      </c>
    </row>
    <row r="102" spans="1:6" x14ac:dyDescent="0.3">
      <c r="A102" s="3">
        <v>99</v>
      </c>
      <c r="B102" s="3">
        <v>2013.54</v>
      </c>
      <c r="C102" s="4">
        <v>5.8898900000000003</v>
      </c>
      <c r="D102" s="4">
        <v>0.38461499999999998</v>
      </c>
      <c r="E102" s="3">
        <f t="shared" si="2"/>
        <v>0.38461499999999998</v>
      </c>
      <c r="F102" s="3">
        <f t="shared" si="3"/>
        <v>5.5052750000000001</v>
      </c>
    </row>
    <row r="103" spans="1:6" x14ac:dyDescent="0.3">
      <c r="A103" s="3">
        <v>100</v>
      </c>
      <c r="B103" s="3">
        <v>2013.71</v>
      </c>
      <c r="C103" s="4">
        <v>5.7943699999999998</v>
      </c>
      <c r="D103" s="4">
        <v>0.54549999999999998</v>
      </c>
      <c r="E103" s="3">
        <f t="shared" si="2"/>
        <v>0.54549999999999998</v>
      </c>
      <c r="F103" s="3">
        <f t="shared" si="3"/>
        <v>5.2488700000000001</v>
      </c>
    </row>
    <row r="104" spans="1:6" x14ac:dyDescent="0.3">
      <c r="A104" s="3">
        <v>101</v>
      </c>
      <c r="B104" s="3">
        <v>2013.86</v>
      </c>
      <c r="C104" s="4">
        <v>5.80945</v>
      </c>
      <c r="D104" s="4">
        <v>0.79688300000000001</v>
      </c>
      <c r="E104" s="3">
        <f t="shared" si="2"/>
        <v>0.79688300000000001</v>
      </c>
      <c r="F104" s="3">
        <f t="shared" si="3"/>
        <v>5.0125669999999998</v>
      </c>
    </row>
    <row r="105" spans="1:6" x14ac:dyDescent="0.3">
      <c r="A105" s="3">
        <v>102</v>
      </c>
      <c r="B105" s="3">
        <v>2014.02</v>
      </c>
      <c r="C105" s="4">
        <v>5.9753600000000002</v>
      </c>
      <c r="D105" s="4">
        <v>1.07843</v>
      </c>
      <c r="E105" s="3">
        <f t="shared" si="2"/>
        <v>1.07843</v>
      </c>
      <c r="F105" s="3">
        <f t="shared" si="3"/>
        <v>4.8969300000000002</v>
      </c>
    </row>
    <row r="106" spans="1:6" x14ac:dyDescent="0.3">
      <c r="A106" s="3">
        <v>103</v>
      </c>
      <c r="B106" s="3">
        <v>2014.17</v>
      </c>
      <c r="C106" s="4">
        <v>6.2518900000000004</v>
      </c>
      <c r="D106" s="4">
        <v>1.3298099999999999</v>
      </c>
      <c r="E106" s="3">
        <f t="shared" si="2"/>
        <v>1.3298099999999999</v>
      </c>
      <c r="F106" s="3">
        <f t="shared" si="3"/>
        <v>4.9220800000000002</v>
      </c>
    </row>
    <row r="107" spans="1:6" x14ac:dyDescent="0.3">
      <c r="A107" s="3">
        <v>104</v>
      </c>
      <c r="B107" s="3">
        <v>2014.31</v>
      </c>
      <c r="C107" s="4">
        <v>6.49824</v>
      </c>
      <c r="D107" s="4">
        <v>1.5208600000000001</v>
      </c>
      <c r="E107" s="3">
        <f t="shared" si="2"/>
        <v>1.5208600000000001</v>
      </c>
      <c r="F107" s="3">
        <f t="shared" si="3"/>
        <v>4.9773800000000001</v>
      </c>
    </row>
    <row r="108" spans="1:6" x14ac:dyDescent="0.3">
      <c r="A108" s="3">
        <v>105</v>
      </c>
      <c r="B108" s="3">
        <v>2014.42</v>
      </c>
      <c r="C108" s="4">
        <v>6.6038199999999998</v>
      </c>
      <c r="D108" s="4">
        <v>1.6566099999999999</v>
      </c>
      <c r="E108" s="3">
        <f t="shared" si="2"/>
        <v>1.6566099999999999</v>
      </c>
      <c r="F108" s="3">
        <f t="shared" si="3"/>
        <v>4.9472100000000001</v>
      </c>
    </row>
    <row r="109" spans="1:6" x14ac:dyDescent="0.3">
      <c r="A109" s="3">
        <v>106</v>
      </c>
      <c r="B109" s="3">
        <v>2014.53</v>
      </c>
      <c r="C109" s="4">
        <v>6.5686299999999997</v>
      </c>
      <c r="D109" s="4">
        <v>1.81247</v>
      </c>
      <c r="E109" s="3">
        <f t="shared" si="2"/>
        <v>1.81247</v>
      </c>
      <c r="F109" s="3">
        <f t="shared" si="3"/>
        <v>4.7561599999999995</v>
      </c>
    </row>
    <row r="110" spans="1:6" x14ac:dyDescent="0.3">
      <c r="A110" s="3">
        <v>107</v>
      </c>
      <c r="B110" s="3">
        <v>2014.64</v>
      </c>
      <c r="C110" s="4">
        <v>6.4781300000000002</v>
      </c>
      <c r="D110" s="4">
        <v>2.06385</v>
      </c>
      <c r="E110" s="3">
        <f t="shared" si="2"/>
        <v>2.06385</v>
      </c>
      <c r="F110" s="3">
        <f t="shared" si="3"/>
        <v>4.4142799999999998</v>
      </c>
    </row>
    <row r="111" spans="1:6" x14ac:dyDescent="0.3">
      <c r="A111" s="3">
        <v>108</v>
      </c>
      <c r="B111" s="3">
        <v>2014.78</v>
      </c>
      <c r="C111" s="4">
        <v>6.4177999999999997</v>
      </c>
      <c r="D111" s="4">
        <v>0.25389600000000001</v>
      </c>
      <c r="E111" s="3">
        <f t="shared" si="2"/>
        <v>0.25389600000000001</v>
      </c>
      <c r="F111" s="3">
        <f t="shared" si="3"/>
        <v>6.1639039999999996</v>
      </c>
    </row>
    <row r="112" spans="1:6" x14ac:dyDescent="0.3">
      <c r="A112" s="3">
        <v>109</v>
      </c>
      <c r="B112" s="3">
        <v>2014.94</v>
      </c>
      <c r="C112" s="4">
        <v>6.4781300000000002</v>
      </c>
      <c r="D112" s="4">
        <v>8.2956299999999997E-2</v>
      </c>
      <c r="E112" s="3">
        <f t="shared" si="2"/>
        <v>8.2956299999999997E-2</v>
      </c>
      <c r="F112" s="3">
        <f t="shared" si="3"/>
        <v>6.3951737</v>
      </c>
    </row>
    <row r="113" spans="1:6" x14ac:dyDescent="0.3">
      <c r="A113" s="3">
        <v>110</v>
      </c>
      <c r="B113" s="3">
        <v>2015.08</v>
      </c>
      <c r="C113" s="4">
        <v>6.6892899999999997</v>
      </c>
      <c r="D113" s="4">
        <v>-9.30116E-2</v>
      </c>
      <c r="E113" s="3">
        <f t="shared" si="2"/>
        <v>-9.30116E-2</v>
      </c>
      <c r="F113" s="3">
        <f t="shared" si="3"/>
        <v>6.7823015999999994</v>
      </c>
    </row>
    <row r="114" spans="1:6" x14ac:dyDescent="0.3">
      <c r="A114" s="3">
        <v>111</v>
      </c>
      <c r="B114" s="3">
        <v>2015.2</v>
      </c>
      <c r="C114" s="4">
        <v>6.9105100000000004</v>
      </c>
      <c r="D114" s="4">
        <v>-0.26897900000000002</v>
      </c>
      <c r="E114" s="3">
        <f t="shared" si="2"/>
        <v>-0.26897900000000002</v>
      </c>
      <c r="F114" s="3">
        <f t="shared" si="3"/>
        <v>7.1794890000000002</v>
      </c>
    </row>
    <row r="115" spans="1:6" x14ac:dyDescent="0.3">
      <c r="A115" s="3">
        <v>112</v>
      </c>
      <c r="B115" s="3">
        <v>2015.34</v>
      </c>
      <c r="C115" s="4">
        <v>7.0261399999999998</v>
      </c>
      <c r="D115" s="4">
        <v>1.2192099999999999</v>
      </c>
      <c r="E115" s="3">
        <f t="shared" si="2"/>
        <v>1.2192099999999999</v>
      </c>
      <c r="F115" s="3">
        <f t="shared" si="3"/>
        <v>5.8069299999999995</v>
      </c>
    </row>
    <row r="116" spans="1:6" x14ac:dyDescent="0.3">
      <c r="A116" s="3">
        <v>113</v>
      </c>
      <c r="B116" s="3">
        <v>2015.47</v>
      </c>
      <c r="C116" s="4">
        <v>7.0864799999999999</v>
      </c>
      <c r="D116" s="4">
        <v>0.942685</v>
      </c>
      <c r="E116" s="3">
        <f t="shared" si="2"/>
        <v>0.942685</v>
      </c>
      <c r="F116" s="3">
        <f t="shared" si="3"/>
        <v>6.1437949999999999</v>
      </c>
    </row>
    <row r="117" spans="1:6" x14ac:dyDescent="0.3">
      <c r="A117" s="3">
        <v>114</v>
      </c>
      <c r="B117" s="3">
        <v>2015.59</v>
      </c>
      <c r="C117" s="4">
        <v>7.2171900000000004</v>
      </c>
      <c r="D117" s="4">
        <v>0.61588699999999996</v>
      </c>
      <c r="E117" s="3">
        <f t="shared" si="2"/>
        <v>0.61588699999999996</v>
      </c>
      <c r="F117" s="3">
        <f t="shared" si="3"/>
        <v>6.6013030000000006</v>
      </c>
    </row>
    <row r="118" spans="1:6" x14ac:dyDescent="0.3">
      <c r="A118" s="3">
        <v>115</v>
      </c>
      <c r="B118" s="3">
        <v>2015.73</v>
      </c>
      <c r="C118" s="4">
        <v>7.4635499999999997</v>
      </c>
      <c r="D118" s="4">
        <v>0.34942200000000001</v>
      </c>
      <c r="E118" s="3">
        <f t="shared" si="2"/>
        <v>0.34942200000000001</v>
      </c>
      <c r="F118" s="3">
        <f t="shared" si="3"/>
        <v>7.114128</v>
      </c>
    </row>
    <row r="119" spans="1:6" x14ac:dyDescent="0.3">
      <c r="A119" s="3">
        <v>116</v>
      </c>
      <c r="B119" s="3">
        <v>2015.84</v>
      </c>
      <c r="C119" s="4">
        <v>7.7702400000000003</v>
      </c>
      <c r="D119" s="4">
        <v>0.18350900000000001</v>
      </c>
      <c r="E119" s="3">
        <f t="shared" si="2"/>
        <v>0.18350900000000001</v>
      </c>
      <c r="F119" s="3">
        <f t="shared" si="3"/>
        <v>7.5867310000000003</v>
      </c>
    </row>
    <row r="120" spans="1:6" x14ac:dyDescent="0.3">
      <c r="A120" s="3">
        <v>117</v>
      </c>
      <c r="B120" s="3">
        <v>2015.91</v>
      </c>
      <c r="C120" s="4">
        <v>8.0266500000000001</v>
      </c>
      <c r="D120" s="4">
        <v>2.2624399999999999E-2</v>
      </c>
      <c r="E120" s="3">
        <f t="shared" si="2"/>
        <v>2.2624399999999999E-2</v>
      </c>
      <c r="F120" s="3">
        <f t="shared" si="3"/>
        <v>8.0040256000000003</v>
      </c>
    </row>
    <row r="121" spans="1:6" x14ac:dyDescent="0.3">
      <c r="A121" s="3">
        <v>118</v>
      </c>
      <c r="B121" s="3">
        <v>2016.01</v>
      </c>
      <c r="C121" s="4">
        <v>8.0869800000000005</v>
      </c>
      <c r="D121" s="4">
        <v>-0.213675</v>
      </c>
      <c r="E121" s="3">
        <f t="shared" si="2"/>
        <v>-0.213675</v>
      </c>
      <c r="F121" s="3">
        <f t="shared" si="3"/>
        <v>8.3006550000000008</v>
      </c>
    </row>
    <row r="122" spans="1:6" x14ac:dyDescent="0.3">
      <c r="A122" s="3">
        <v>119</v>
      </c>
      <c r="B122" s="3">
        <v>2016.14</v>
      </c>
      <c r="C122" s="4">
        <v>7.18703</v>
      </c>
      <c r="D122" s="4">
        <v>-0.52036199999999999</v>
      </c>
      <c r="E122" s="3">
        <f t="shared" si="2"/>
        <v>-0.52036199999999999</v>
      </c>
      <c r="F122" s="3">
        <f t="shared" si="3"/>
        <v>7.7073920000000005</v>
      </c>
    </row>
    <row r="123" spans="1:6" x14ac:dyDescent="0.3">
      <c r="A123" s="3">
        <v>120</v>
      </c>
      <c r="B123" s="3">
        <v>2016.28</v>
      </c>
      <c r="C123" s="4">
        <v>6.9708399999999999</v>
      </c>
      <c r="D123" s="4">
        <v>-0.84213199999999999</v>
      </c>
      <c r="E123" s="3">
        <f t="shared" si="2"/>
        <v>-0.84213199999999999</v>
      </c>
      <c r="F123" s="3">
        <f t="shared" si="3"/>
        <v>7.8129720000000002</v>
      </c>
    </row>
    <row r="124" spans="1:6" x14ac:dyDescent="0.3">
      <c r="A124" s="3">
        <v>121</v>
      </c>
      <c r="B124" s="3">
        <v>2016.39</v>
      </c>
      <c r="C124" s="4">
        <v>7.6797399999999998</v>
      </c>
      <c r="D124" s="4">
        <v>-1.1287100000000001</v>
      </c>
      <c r="E124" s="3">
        <f t="shared" si="2"/>
        <v>-1.1287100000000001</v>
      </c>
      <c r="F124" s="3">
        <f t="shared" si="3"/>
        <v>8.8084500000000006</v>
      </c>
    </row>
    <row r="125" spans="1:6" x14ac:dyDescent="0.3">
      <c r="A125" s="3">
        <v>122</v>
      </c>
      <c r="B125" s="3">
        <v>2016.47</v>
      </c>
      <c r="C125" s="4">
        <v>7.6596299999999999</v>
      </c>
      <c r="D125" s="4">
        <v>-1.3750599999999999</v>
      </c>
      <c r="E125" s="3">
        <f t="shared" si="2"/>
        <v>-1.3750599999999999</v>
      </c>
      <c r="F125" s="3">
        <f t="shared" si="3"/>
        <v>9.0346899999999994</v>
      </c>
    </row>
    <row r="126" spans="1:6" x14ac:dyDescent="0.3">
      <c r="A126" s="3">
        <v>123</v>
      </c>
      <c r="B126" s="3">
        <v>2016.55</v>
      </c>
      <c r="C126" s="4">
        <v>7.69482</v>
      </c>
      <c r="D126" s="4">
        <v>-1.5811999999999999</v>
      </c>
      <c r="E126" s="3">
        <f t="shared" si="2"/>
        <v>-1.5811999999999999</v>
      </c>
      <c r="F126" s="3">
        <f t="shared" si="3"/>
        <v>9.276019999999999</v>
      </c>
    </row>
    <row r="127" spans="1:6" x14ac:dyDescent="0.3">
      <c r="A127" s="3">
        <v>124</v>
      </c>
      <c r="B127" s="3">
        <v>2016.65</v>
      </c>
      <c r="C127" s="4">
        <v>7.8205099999999996</v>
      </c>
      <c r="D127" s="4">
        <v>-1.7018599999999999</v>
      </c>
      <c r="E127" s="3">
        <f t="shared" si="2"/>
        <v>-1.7018599999999999</v>
      </c>
      <c r="F127" s="3">
        <f t="shared" si="3"/>
        <v>9.5223699999999987</v>
      </c>
    </row>
    <row r="128" spans="1:6" x14ac:dyDescent="0.3">
      <c r="A128" s="3">
        <v>125</v>
      </c>
      <c r="B128" s="3">
        <v>2016.77</v>
      </c>
      <c r="C128" s="4">
        <v>8.0718999999999994</v>
      </c>
      <c r="D128" s="4">
        <v>-1.6666700000000001</v>
      </c>
      <c r="E128" s="3">
        <f t="shared" si="2"/>
        <v>-1.6666700000000001</v>
      </c>
      <c r="F128" s="3">
        <f t="shared" si="3"/>
        <v>9.7385699999999993</v>
      </c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>
        <v>0.38964300000000002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CFE3-4980-4FE3-B49E-1123FDEAC961}">
  <dimension ref="A1:O58"/>
  <sheetViews>
    <sheetView showGridLines="0" tabSelected="1" zoomScale="85" zoomScaleNormal="85" workbookViewId="0">
      <selection activeCell="O39" sqref="O39"/>
    </sheetView>
  </sheetViews>
  <sheetFormatPr defaultRowHeight="14" x14ac:dyDescent="0.3"/>
  <cols>
    <col min="1" max="37" width="16.58203125" customWidth="1"/>
  </cols>
  <sheetData>
    <row r="1" spans="1:15" ht="14.5" thickBot="1" x14ac:dyDescent="0.35">
      <c r="A1" s="12" t="s">
        <v>41</v>
      </c>
      <c r="B1" s="12"/>
      <c r="C1" s="12"/>
      <c r="D1" s="12"/>
      <c r="E1" s="12"/>
      <c r="G1" s="13" t="s">
        <v>46</v>
      </c>
      <c r="H1" s="13"/>
      <c r="I1" s="13"/>
      <c r="J1" s="13"/>
      <c r="K1" s="13" t="s">
        <v>47</v>
      </c>
      <c r="L1" s="13"/>
      <c r="M1" s="13"/>
      <c r="N1" s="13"/>
      <c r="O1" s="13"/>
    </row>
    <row r="2" spans="1:15" x14ac:dyDescent="0.3">
      <c r="A2" t="s">
        <v>27</v>
      </c>
      <c r="B2" t="s">
        <v>28</v>
      </c>
      <c r="C2" t="s">
        <v>29</v>
      </c>
      <c r="D2" t="s">
        <v>30</v>
      </c>
      <c r="E2" t="s">
        <v>42</v>
      </c>
      <c r="G2" t="s">
        <v>28</v>
      </c>
      <c r="H2" t="s">
        <v>29</v>
      </c>
      <c r="I2" t="s">
        <v>30</v>
      </c>
      <c r="J2" t="s">
        <v>42</v>
      </c>
      <c r="K2" t="s">
        <v>48</v>
      </c>
      <c r="L2" t="s">
        <v>49</v>
      </c>
      <c r="M2" t="s">
        <v>50</v>
      </c>
      <c r="O2" t="s">
        <v>51</v>
      </c>
    </row>
    <row r="3" spans="1:15" x14ac:dyDescent="0.3">
      <c r="A3" s="18" t="s">
        <v>31</v>
      </c>
      <c r="B3" s="18" t="s">
        <v>18</v>
      </c>
      <c r="C3" s="18" t="s">
        <v>45</v>
      </c>
      <c r="D3" s="18" t="s">
        <v>43</v>
      </c>
      <c r="E3" s="18" t="s">
        <v>44</v>
      </c>
      <c r="G3" s="18" t="s">
        <v>18</v>
      </c>
      <c r="H3" s="18" t="s">
        <v>45</v>
      </c>
      <c r="I3" s="18" t="s">
        <v>43</v>
      </c>
      <c r="J3" s="18" t="s">
        <v>44</v>
      </c>
      <c r="K3" s="18" t="s">
        <v>52</v>
      </c>
      <c r="L3" s="18" t="s">
        <v>55</v>
      </c>
      <c r="M3" s="18" t="s">
        <v>52</v>
      </c>
      <c r="N3" s="18" t="s">
        <v>53</v>
      </c>
      <c r="O3" s="18" t="s">
        <v>60</v>
      </c>
    </row>
    <row r="4" spans="1:15" x14ac:dyDescent="0.3">
      <c r="A4" s="4" cm="1">
        <f t="array" ref="A4:A58">_xlfn.SEQUENCE(55)</f>
        <v>1</v>
      </c>
      <c r="B4" s="4">
        <v>2005.03</v>
      </c>
      <c r="C4" s="4">
        <v>100.703</v>
      </c>
      <c r="D4" s="4">
        <v>100.111</v>
      </c>
      <c r="E4" s="4">
        <v>102.254</v>
      </c>
      <c r="G4" s="4">
        <v>2005.03</v>
      </c>
      <c r="H4" s="4">
        <f>C4/(C$4/100)</f>
        <v>100</v>
      </c>
      <c r="I4" s="4">
        <f t="shared" ref="I4:J4" si="0">D4/(D$4/100)</f>
        <v>100.00000000000001</v>
      </c>
      <c r="J4" s="4">
        <f t="shared" si="0"/>
        <v>100</v>
      </c>
      <c r="K4" s="14">
        <f>G4</f>
        <v>2005.03</v>
      </c>
      <c r="L4" s="15" t="s">
        <v>56</v>
      </c>
      <c r="M4" s="15">
        <f>MAX(G4:G58)+$M$8</f>
        <v>2017.88</v>
      </c>
      <c r="N4" s="15" cm="1">
        <f t="array" ref="N4">VLOOKUP($M4-$M$8,G4:J58,ROW(2:2),0)</f>
        <v>73.318173242107974</v>
      </c>
      <c r="O4" s="15">
        <v>2.2000000000000002</v>
      </c>
    </row>
    <row r="5" spans="1:15" x14ac:dyDescent="0.3">
      <c r="A5" s="4">
        <v>2</v>
      </c>
      <c r="B5" s="4">
        <v>2005.39</v>
      </c>
      <c r="C5" s="4">
        <v>100.712</v>
      </c>
      <c r="D5" s="4">
        <v>99.889600000000002</v>
      </c>
      <c r="E5" s="4">
        <v>102.974</v>
      </c>
      <c r="G5" s="4">
        <v>2005.39</v>
      </c>
      <c r="H5" s="4">
        <f t="shared" ref="H5:H58" si="1">C5/(C$4/100)</f>
        <v>100.00893717168306</v>
      </c>
      <c r="I5" s="4">
        <f t="shared" ref="I5:I58" si="2">D5/(D$4/100)</f>
        <v>99.778845481515532</v>
      </c>
      <c r="J5" s="4">
        <f t="shared" ref="J5:J58" si="3">E5/(E$4/100)</f>
        <v>100.70412893383144</v>
      </c>
      <c r="K5" s="14" t="s">
        <v>53</v>
      </c>
      <c r="L5" s="15" t="s">
        <v>57</v>
      </c>
      <c r="M5" s="15">
        <f t="shared" ref="M5:M6" si="4">MAX(G5:G59)+$M$8</f>
        <v>2017.88</v>
      </c>
      <c r="N5" s="15" cm="1">
        <f t="array" ref="N5">VLOOKUP($M5-$M$8,G5:J59,ROW(3:3),0)</f>
        <v>96.082848038677071</v>
      </c>
      <c r="O5" s="15">
        <v>0.2</v>
      </c>
    </row>
    <row r="6" spans="1:15" x14ac:dyDescent="0.3">
      <c r="A6" s="4">
        <v>3</v>
      </c>
      <c r="B6" s="4">
        <v>2005.56</v>
      </c>
      <c r="C6" s="4">
        <v>100.71599999999999</v>
      </c>
      <c r="D6" s="4">
        <v>99.781499999999994</v>
      </c>
      <c r="E6" s="4">
        <v>103.732</v>
      </c>
      <c r="G6" s="4">
        <v>2005.56</v>
      </c>
      <c r="H6" s="4">
        <f t="shared" si="1"/>
        <v>100.01290924798664</v>
      </c>
      <c r="I6" s="4">
        <f t="shared" si="2"/>
        <v>99.670865339473181</v>
      </c>
      <c r="J6" s="4">
        <f t="shared" si="3"/>
        <v>101.44542022805953</v>
      </c>
      <c r="K6" s="14">
        <f>H4</f>
        <v>100</v>
      </c>
      <c r="L6" s="15" t="s">
        <v>58</v>
      </c>
      <c r="M6" s="15">
        <f t="shared" si="4"/>
        <v>2017.88</v>
      </c>
      <c r="N6" s="15" cm="1">
        <f t="array" ref="N6">VLOOKUP($M6-$M$8,G6:J60,ROW(4:4),0)</f>
        <v>126.14176462534475</v>
      </c>
      <c r="O6" s="15">
        <v>1.6</v>
      </c>
    </row>
    <row r="7" spans="1:15" x14ac:dyDescent="0.3">
      <c r="A7" s="4">
        <v>4</v>
      </c>
      <c r="B7" s="4">
        <v>2005.74</v>
      </c>
      <c r="C7" s="4">
        <v>100.72</v>
      </c>
      <c r="D7" s="4">
        <v>99.974699999999999</v>
      </c>
      <c r="E7" s="4">
        <v>104.566</v>
      </c>
      <c r="G7" s="4">
        <v>2005.74</v>
      </c>
      <c r="H7" s="4">
        <f t="shared" si="1"/>
        <v>100.01688132429022</v>
      </c>
      <c r="I7" s="4">
        <f t="shared" si="2"/>
        <v>99.863851125250974</v>
      </c>
      <c r="J7" s="4">
        <f t="shared" si="3"/>
        <v>102.26103624308095</v>
      </c>
      <c r="K7" s="3" t="s">
        <v>54</v>
      </c>
      <c r="M7" s="18" t="s">
        <v>59</v>
      </c>
    </row>
    <row r="8" spans="1:15" x14ac:dyDescent="0.3">
      <c r="A8" s="4">
        <v>5</v>
      </c>
      <c r="B8" s="4">
        <v>2006.67</v>
      </c>
      <c r="C8" s="4">
        <v>103.116</v>
      </c>
      <c r="D8" s="4">
        <v>100.50700000000001</v>
      </c>
      <c r="E8" s="4">
        <v>105.512</v>
      </c>
      <c r="G8" s="4">
        <v>2006.67</v>
      </c>
      <c r="H8" s="4">
        <f t="shared" si="1"/>
        <v>102.39615503013812</v>
      </c>
      <c r="I8" s="4">
        <f t="shared" si="2"/>
        <v>100.39556092737062</v>
      </c>
      <c r="J8" s="4">
        <f t="shared" si="3"/>
        <v>103.18618342558726</v>
      </c>
      <c r="K8" s="3">
        <v>50</v>
      </c>
      <c r="M8" s="15">
        <v>1</v>
      </c>
    </row>
    <row r="9" spans="1:15" x14ac:dyDescent="0.3">
      <c r="A9" s="4">
        <v>6</v>
      </c>
      <c r="B9" s="4">
        <v>2006.86</v>
      </c>
      <c r="C9" s="4">
        <v>104.062</v>
      </c>
      <c r="D9" s="4">
        <v>101.152</v>
      </c>
      <c r="E9" s="4">
        <v>106.60899999999999</v>
      </c>
      <c r="G9" s="4">
        <v>2006.86</v>
      </c>
      <c r="H9" s="4">
        <f t="shared" si="1"/>
        <v>103.33555107593615</v>
      </c>
      <c r="I9" s="4">
        <f t="shared" si="2"/>
        <v>101.03984577119398</v>
      </c>
      <c r="J9" s="4">
        <f t="shared" si="3"/>
        <v>104.25900209282766</v>
      </c>
    </row>
    <row r="10" spans="1:15" x14ac:dyDescent="0.3">
      <c r="A10" s="4">
        <v>7</v>
      </c>
      <c r="B10" s="4">
        <v>2007.06</v>
      </c>
      <c r="C10" s="4">
        <v>104.631</v>
      </c>
      <c r="D10" s="4">
        <v>101.72199999999999</v>
      </c>
      <c r="E10" s="4">
        <v>107.74299999999999</v>
      </c>
      <c r="G10" s="4">
        <v>2007.06</v>
      </c>
      <c r="H10" s="4">
        <f t="shared" si="1"/>
        <v>103.90057893012124</v>
      </c>
      <c r="I10" s="4">
        <f t="shared" si="2"/>
        <v>101.60921377271229</v>
      </c>
      <c r="J10" s="4">
        <f t="shared" si="3"/>
        <v>105.36800516361218</v>
      </c>
    </row>
    <row r="11" spans="1:15" x14ac:dyDescent="0.3">
      <c r="A11" s="4">
        <v>8</v>
      </c>
      <c r="B11" s="4">
        <v>2007.26</v>
      </c>
      <c r="C11" s="4">
        <v>104.97499999999999</v>
      </c>
      <c r="D11" s="4">
        <v>102.254</v>
      </c>
      <c r="E11" s="4">
        <v>108.953</v>
      </c>
      <c r="G11" s="4">
        <v>2007.26</v>
      </c>
      <c r="H11" s="4">
        <f t="shared" si="1"/>
        <v>104.24217749222962</v>
      </c>
      <c r="I11" s="4">
        <f t="shared" si="2"/>
        <v>102.14062390746273</v>
      </c>
      <c r="J11" s="4">
        <f t="shared" si="3"/>
        <v>106.55133295519002</v>
      </c>
    </row>
    <row r="12" spans="1:15" x14ac:dyDescent="0.3">
      <c r="A12" s="4">
        <v>9</v>
      </c>
      <c r="B12" s="4">
        <v>2007.46</v>
      </c>
      <c r="C12" s="4">
        <v>105.39400000000001</v>
      </c>
      <c r="D12" s="4">
        <v>102.748</v>
      </c>
      <c r="E12" s="4">
        <v>110.125</v>
      </c>
      <c r="G12" s="4">
        <v>2007.46</v>
      </c>
      <c r="H12" s="4">
        <f t="shared" si="1"/>
        <v>104.65825248503023</v>
      </c>
      <c r="I12" s="4">
        <f t="shared" si="2"/>
        <v>102.63407617544527</v>
      </c>
      <c r="J12" s="4">
        <f t="shared" si="3"/>
        <v>107.69749838637119</v>
      </c>
    </row>
    <row r="13" spans="1:15" x14ac:dyDescent="0.3">
      <c r="A13" s="4">
        <v>10</v>
      </c>
      <c r="B13" s="4">
        <v>2007.65</v>
      </c>
      <c r="C13" s="4">
        <v>105.81399999999999</v>
      </c>
      <c r="D13" s="4">
        <v>103.13</v>
      </c>
      <c r="E13" s="4">
        <v>111.297</v>
      </c>
      <c r="G13" s="4">
        <v>2007.65</v>
      </c>
      <c r="H13" s="4">
        <f t="shared" si="1"/>
        <v>105.07532049690673</v>
      </c>
      <c r="I13" s="4">
        <f t="shared" si="2"/>
        <v>103.0156526255856</v>
      </c>
      <c r="J13" s="4">
        <f t="shared" si="3"/>
        <v>108.84366381755237</v>
      </c>
    </row>
    <row r="14" spans="1:15" x14ac:dyDescent="0.3">
      <c r="A14" s="4">
        <v>11</v>
      </c>
      <c r="B14" s="4">
        <v>2007.85</v>
      </c>
      <c r="C14" s="4">
        <v>106.157</v>
      </c>
      <c r="D14" s="4">
        <v>103.36</v>
      </c>
      <c r="E14" s="4">
        <v>112.619</v>
      </c>
      <c r="G14" s="4">
        <v>2007.85</v>
      </c>
      <c r="H14" s="4">
        <f t="shared" si="1"/>
        <v>105.41592603993921</v>
      </c>
      <c r="I14" s="4">
        <f t="shared" si="2"/>
        <v>103.2453976086544</v>
      </c>
      <c r="J14" s="4">
        <f t="shared" si="3"/>
        <v>110.1365227766151</v>
      </c>
    </row>
    <row r="15" spans="1:15" x14ac:dyDescent="0.3">
      <c r="A15" s="4">
        <v>12</v>
      </c>
      <c r="B15" s="4">
        <v>2008.05</v>
      </c>
      <c r="C15" s="4">
        <v>106.501</v>
      </c>
      <c r="D15" s="4">
        <v>103.40300000000001</v>
      </c>
      <c r="E15" s="4">
        <v>114.13</v>
      </c>
      <c r="G15" s="4">
        <v>2008.05</v>
      </c>
      <c r="H15" s="4">
        <f t="shared" si="1"/>
        <v>105.7575246020476</v>
      </c>
      <c r="I15" s="4">
        <f t="shared" si="2"/>
        <v>103.28834993157597</v>
      </c>
      <c r="J15" s="4">
        <f t="shared" si="3"/>
        <v>111.61421558080858</v>
      </c>
    </row>
    <row r="16" spans="1:15" x14ac:dyDescent="0.3">
      <c r="A16" s="4">
        <v>13</v>
      </c>
      <c r="B16" s="4">
        <v>2008.25</v>
      </c>
      <c r="C16" s="4">
        <v>106.92</v>
      </c>
      <c r="D16" s="4">
        <v>103.483</v>
      </c>
      <c r="E16" s="4">
        <v>115.71599999999999</v>
      </c>
      <c r="G16" s="4">
        <v>2008.25</v>
      </c>
      <c r="H16" s="4">
        <f t="shared" si="1"/>
        <v>106.17359959484821</v>
      </c>
      <c r="I16" s="4">
        <f t="shared" si="2"/>
        <v>103.36826123003468</v>
      </c>
      <c r="J16" s="4">
        <f t="shared" si="3"/>
        <v>113.16525514894282</v>
      </c>
    </row>
    <row r="17" spans="1:10" x14ac:dyDescent="0.3">
      <c r="A17" s="4">
        <v>14</v>
      </c>
      <c r="B17" s="4">
        <v>2009.05</v>
      </c>
      <c r="C17" s="4">
        <v>109.27500000000001</v>
      </c>
      <c r="D17" s="4">
        <v>103.86499999999999</v>
      </c>
      <c r="E17" s="4">
        <v>117.30200000000001</v>
      </c>
      <c r="G17" s="4">
        <v>2009.05</v>
      </c>
      <c r="H17" s="4">
        <f t="shared" si="1"/>
        <v>108.51215951858435</v>
      </c>
      <c r="I17" s="4">
        <f t="shared" si="2"/>
        <v>103.74983768017501</v>
      </c>
      <c r="J17" s="4">
        <f t="shared" si="3"/>
        <v>114.71629471707709</v>
      </c>
    </row>
    <row r="18" spans="1:10" x14ac:dyDescent="0.3">
      <c r="A18" s="4">
        <v>15</v>
      </c>
      <c r="B18" s="4">
        <v>2009.45</v>
      </c>
      <c r="C18" s="4">
        <v>108.268</v>
      </c>
      <c r="D18" s="4">
        <v>104.547</v>
      </c>
      <c r="E18" s="4">
        <v>118.85</v>
      </c>
      <c r="G18" s="4">
        <v>2009.45</v>
      </c>
      <c r="H18" s="4">
        <f t="shared" si="1"/>
        <v>107.51218930915662</v>
      </c>
      <c r="I18" s="4">
        <f t="shared" si="2"/>
        <v>104.43108149953552</v>
      </c>
      <c r="J18" s="4">
        <f t="shared" si="3"/>
        <v>116.23017192481467</v>
      </c>
    </row>
    <row r="19" spans="1:10" x14ac:dyDescent="0.3">
      <c r="A19" s="4">
        <v>16</v>
      </c>
      <c r="B19" s="4">
        <v>2009.65</v>
      </c>
      <c r="C19" s="4">
        <v>107.93300000000001</v>
      </c>
      <c r="D19" s="4">
        <v>105.41800000000001</v>
      </c>
      <c r="E19" s="4">
        <v>120.21</v>
      </c>
      <c r="G19" s="4">
        <v>2009.65</v>
      </c>
      <c r="H19" s="4">
        <f t="shared" si="1"/>
        <v>107.17952791873131</v>
      </c>
      <c r="I19" s="4">
        <f t="shared" si="2"/>
        <v>105.30111576150475</v>
      </c>
      <c r="J19" s="4">
        <f t="shared" si="3"/>
        <v>117.56019324427406</v>
      </c>
    </row>
    <row r="20" spans="1:10" x14ac:dyDescent="0.3">
      <c r="A20" s="4">
        <v>17</v>
      </c>
      <c r="B20" s="4">
        <v>2009.84</v>
      </c>
      <c r="C20" s="4">
        <v>107.26</v>
      </c>
      <c r="D20" s="4">
        <v>106.402</v>
      </c>
      <c r="E20" s="4">
        <v>121.26900000000001</v>
      </c>
      <c r="G20" s="4">
        <v>2009.84</v>
      </c>
      <c r="H20" s="4">
        <f t="shared" si="1"/>
        <v>106.511226080653</v>
      </c>
      <c r="I20" s="4">
        <f t="shared" si="2"/>
        <v>106.28402473254688</v>
      </c>
      <c r="J20" s="4">
        <f t="shared" si="3"/>
        <v>118.59584955111781</v>
      </c>
    </row>
    <row r="21" spans="1:10" x14ac:dyDescent="0.3">
      <c r="A21" s="4">
        <v>18</v>
      </c>
      <c r="B21" s="4">
        <v>2010.21</v>
      </c>
      <c r="C21" s="4">
        <v>105.235</v>
      </c>
      <c r="D21" s="4">
        <v>107.348</v>
      </c>
      <c r="E21" s="4">
        <v>122.065</v>
      </c>
      <c r="G21" s="4">
        <v>2010.21</v>
      </c>
      <c r="H21" s="4">
        <f t="shared" si="1"/>
        <v>104.50036245196269</v>
      </c>
      <c r="I21" s="4">
        <f t="shared" si="2"/>
        <v>107.22897583682114</v>
      </c>
      <c r="J21" s="4">
        <f t="shared" si="3"/>
        <v>119.37430320574256</v>
      </c>
    </row>
    <row r="22" spans="1:10" x14ac:dyDescent="0.3">
      <c r="A22" s="4">
        <v>19</v>
      </c>
      <c r="B22" s="4">
        <v>2010.47</v>
      </c>
      <c r="C22" s="4">
        <v>100.684</v>
      </c>
      <c r="D22" s="4">
        <v>107.88</v>
      </c>
      <c r="E22" s="4">
        <v>122.785</v>
      </c>
      <c r="G22" s="4">
        <v>2010.47</v>
      </c>
      <c r="H22" s="4">
        <f t="shared" si="1"/>
        <v>99.981132637557963</v>
      </c>
      <c r="I22" s="4">
        <f t="shared" si="2"/>
        <v>107.76038597157155</v>
      </c>
      <c r="J22" s="4">
        <f t="shared" si="3"/>
        <v>120.07843213957401</v>
      </c>
    </row>
    <row r="23" spans="1:10" x14ac:dyDescent="0.3">
      <c r="A23" s="4">
        <v>20</v>
      </c>
      <c r="B23" s="4">
        <v>2010.62</v>
      </c>
      <c r="C23" s="4">
        <v>98.917299999999997</v>
      </c>
      <c r="D23" s="4">
        <v>107.73399999999999</v>
      </c>
      <c r="E23" s="4">
        <v>123.468</v>
      </c>
      <c r="G23" s="4">
        <v>2010.62</v>
      </c>
      <c r="H23" s="4">
        <f t="shared" si="1"/>
        <v>98.226765836171708</v>
      </c>
      <c r="I23" s="4">
        <f t="shared" si="2"/>
        <v>107.61454785188441</v>
      </c>
      <c r="J23" s="4">
        <f t="shared" si="3"/>
        <v>120.74637666986133</v>
      </c>
    </row>
    <row r="24" spans="1:10" x14ac:dyDescent="0.3">
      <c r="A24" s="4">
        <v>21</v>
      </c>
      <c r="B24" s="4">
        <v>2010.74</v>
      </c>
      <c r="C24" s="4">
        <v>96.811099999999996</v>
      </c>
      <c r="D24" s="4">
        <v>107.06100000000001</v>
      </c>
      <c r="E24" s="4">
        <v>124.038</v>
      </c>
      <c r="G24" s="4">
        <v>2010.74</v>
      </c>
      <c r="H24" s="4">
        <f t="shared" si="1"/>
        <v>96.135269058518602</v>
      </c>
      <c r="I24" s="4">
        <f t="shared" si="2"/>
        <v>106.94229405360052</v>
      </c>
      <c r="J24" s="4">
        <f t="shared" si="3"/>
        <v>121.30381207581121</v>
      </c>
    </row>
    <row r="25" spans="1:10" x14ac:dyDescent="0.3">
      <c r="A25" s="4">
        <v>22</v>
      </c>
      <c r="B25" s="4">
        <v>2010.87</v>
      </c>
      <c r="C25" s="4">
        <v>94.742699999999999</v>
      </c>
      <c r="D25" s="4">
        <v>106.23699999999999</v>
      </c>
      <c r="E25" s="4">
        <v>124.419</v>
      </c>
      <c r="G25" s="4">
        <v>2010.87</v>
      </c>
      <c r="H25" s="4">
        <f t="shared" si="1"/>
        <v>94.081308401934393</v>
      </c>
      <c r="I25" s="4">
        <f t="shared" si="2"/>
        <v>106.11920767947578</v>
      </c>
      <c r="J25" s="4">
        <f t="shared" si="3"/>
        <v>121.67641363663034</v>
      </c>
    </row>
    <row r="26" spans="1:10" x14ac:dyDescent="0.3">
      <c r="A26" s="4">
        <v>23</v>
      </c>
      <c r="B26" s="4">
        <v>2011.02</v>
      </c>
      <c r="C26" s="4">
        <v>92.976100000000002</v>
      </c>
      <c r="D26" s="4">
        <v>105.45099999999999</v>
      </c>
      <c r="E26" s="4">
        <v>124.61199999999999</v>
      </c>
      <c r="G26" s="4">
        <v>2011.02</v>
      </c>
      <c r="H26" s="4">
        <f t="shared" si="1"/>
        <v>92.327040902455735</v>
      </c>
      <c r="I26" s="4">
        <f t="shared" si="2"/>
        <v>105.33407917211895</v>
      </c>
      <c r="J26" s="4">
        <f t="shared" si="3"/>
        <v>121.86515930917128</v>
      </c>
    </row>
    <row r="27" spans="1:10" x14ac:dyDescent="0.3">
      <c r="A27" s="4">
        <v>24</v>
      </c>
      <c r="B27" s="4">
        <v>2011.19</v>
      </c>
      <c r="C27" s="4">
        <v>91.586600000000004</v>
      </c>
      <c r="D27" s="4">
        <v>104.77800000000001</v>
      </c>
      <c r="E27" s="4">
        <v>124.73</v>
      </c>
      <c r="G27" s="4">
        <v>2011.19</v>
      </c>
      <c r="H27" s="4">
        <f t="shared" si="1"/>
        <v>90.947240896497618</v>
      </c>
      <c r="I27" s="4">
        <f t="shared" si="2"/>
        <v>104.66182537383506</v>
      </c>
      <c r="J27" s="4">
        <f t="shared" si="3"/>
        <v>121.98055821777143</v>
      </c>
    </row>
    <row r="28" spans="1:10" x14ac:dyDescent="0.3">
      <c r="A28" s="4">
        <v>25</v>
      </c>
      <c r="B28" s="4">
        <v>2011.38</v>
      </c>
      <c r="C28" s="4">
        <v>90.461200000000005</v>
      </c>
      <c r="D28" s="4">
        <v>104.33</v>
      </c>
      <c r="E28" s="4">
        <v>124.848</v>
      </c>
      <c r="G28" s="4">
        <v>2011.38</v>
      </c>
      <c r="H28" s="4">
        <f t="shared" si="1"/>
        <v>89.829697228483752</v>
      </c>
      <c r="I28" s="4">
        <f t="shared" si="2"/>
        <v>104.21432210246627</v>
      </c>
      <c r="J28" s="4">
        <f t="shared" si="3"/>
        <v>122.09595712637159</v>
      </c>
    </row>
    <row r="29" spans="1:10" x14ac:dyDescent="0.3">
      <c r="A29" s="4">
        <v>26</v>
      </c>
      <c r="B29" s="4">
        <v>2011.56</v>
      </c>
      <c r="C29" s="4">
        <v>89.411000000000001</v>
      </c>
      <c r="D29" s="4">
        <v>104.10899999999999</v>
      </c>
      <c r="E29" s="4">
        <v>125.004</v>
      </c>
      <c r="G29" s="4">
        <v>2011.56</v>
      </c>
      <c r="H29" s="4">
        <f t="shared" si="1"/>
        <v>88.786828594977308</v>
      </c>
      <c r="I29" s="4">
        <f t="shared" si="2"/>
        <v>103.99356714047407</v>
      </c>
      <c r="J29" s="4">
        <f t="shared" si="3"/>
        <v>122.24851839536841</v>
      </c>
    </row>
    <row r="30" spans="1:10" x14ac:dyDescent="0.3">
      <c r="A30" s="4">
        <v>27</v>
      </c>
      <c r="B30" s="4">
        <v>2011.75</v>
      </c>
      <c r="C30" s="4">
        <v>88.398600000000002</v>
      </c>
      <c r="D30" s="4">
        <v>103.926</v>
      </c>
      <c r="E30" s="4">
        <v>125.27200000000001</v>
      </c>
      <c r="G30" s="4">
        <v>2011.75</v>
      </c>
      <c r="H30" s="4">
        <f t="shared" si="1"/>
        <v>87.781496082539746</v>
      </c>
      <c r="I30" s="4">
        <f t="shared" si="2"/>
        <v>103.81077004524978</v>
      </c>
      <c r="J30" s="4">
        <f t="shared" si="3"/>
        <v>122.5106108318501</v>
      </c>
    </row>
    <row r="31" spans="1:10" x14ac:dyDescent="0.3">
      <c r="A31" s="4">
        <v>28</v>
      </c>
      <c r="B31" s="4">
        <v>2011.94</v>
      </c>
      <c r="C31" s="4">
        <v>87.612300000000005</v>
      </c>
      <c r="D31" s="4">
        <v>103.78</v>
      </c>
      <c r="E31" s="4">
        <v>125.616</v>
      </c>
      <c r="G31" s="4">
        <v>2011.94</v>
      </c>
      <c r="H31" s="4">
        <f t="shared" si="1"/>
        <v>87.000685183162361</v>
      </c>
      <c r="I31" s="4">
        <f t="shared" si="2"/>
        <v>103.66493192556263</v>
      </c>
      <c r="J31" s="4">
        <f t="shared" si="3"/>
        <v>122.84702798912512</v>
      </c>
    </row>
    <row r="32" spans="1:10" x14ac:dyDescent="0.3">
      <c r="A32" s="4">
        <v>29</v>
      </c>
      <c r="B32" s="4">
        <v>2012.14</v>
      </c>
      <c r="C32" s="4">
        <v>87.165099999999995</v>
      </c>
      <c r="D32" s="4">
        <v>103.521</v>
      </c>
      <c r="E32" s="4">
        <v>125.96</v>
      </c>
      <c r="G32" s="4">
        <v>2012.14</v>
      </c>
      <c r="H32" s="4">
        <f t="shared" si="1"/>
        <v>86.556607052421469</v>
      </c>
      <c r="I32" s="4">
        <f t="shared" si="2"/>
        <v>103.40621909680256</v>
      </c>
      <c r="J32" s="4">
        <f t="shared" si="3"/>
        <v>123.18344514640013</v>
      </c>
    </row>
    <row r="33" spans="1:10" x14ac:dyDescent="0.3">
      <c r="A33" s="4">
        <v>30</v>
      </c>
      <c r="B33" s="4">
        <v>2012.34</v>
      </c>
      <c r="C33" s="4">
        <v>87.019400000000005</v>
      </c>
      <c r="D33" s="4">
        <v>103.149</v>
      </c>
      <c r="E33" s="4">
        <v>126.26600000000001</v>
      </c>
      <c r="G33" s="4">
        <v>2012.34</v>
      </c>
      <c r="H33" s="4">
        <f t="shared" si="1"/>
        <v>86.411924173063355</v>
      </c>
      <c r="I33" s="4">
        <f t="shared" si="2"/>
        <v>103.03463155896955</v>
      </c>
      <c r="J33" s="4">
        <f t="shared" si="3"/>
        <v>123.4826999432785</v>
      </c>
    </row>
    <row r="34" spans="1:10" x14ac:dyDescent="0.3">
      <c r="A34" s="4">
        <v>31</v>
      </c>
      <c r="B34" s="4">
        <v>2012.55</v>
      </c>
      <c r="C34" s="4">
        <v>87.024199999999993</v>
      </c>
      <c r="D34" s="4">
        <v>102.66500000000001</v>
      </c>
      <c r="E34" s="4">
        <v>126.685</v>
      </c>
      <c r="G34" s="4">
        <v>2012.55</v>
      </c>
      <c r="H34" s="4">
        <f t="shared" si="1"/>
        <v>86.416690664627652</v>
      </c>
      <c r="I34" s="4">
        <f t="shared" si="2"/>
        <v>102.55116820329435</v>
      </c>
      <c r="J34" s="4">
        <f t="shared" si="3"/>
        <v>123.8924638644943</v>
      </c>
    </row>
    <row r="35" spans="1:10" x14ac:dyDescent="0.3">
      <c r="A35" s="4">
        <v>32</v>
      </c>
      <c r="B35" s="4">
        <v>2012.75</v>
      </c>
      <c r="C35" s="4">
        <v>87.066800000000001</v>
      </c>
      <c r="D35" s="4">
        <v>102.255</v>
      </c>
      <c r="E35" s="4">
        <v>127.217</v>
      </c>
      <c r="G35" s="4">
        <v>2012.75</v>
      </c>
      <c r="H35" s="4">
        <f t="shared" si="1"/>
        <v>86.458993277260845</v>
      </c>
      <c r="I35" s="4">
        <f t="shared" si="2"/>
        <v>102.14162279869345</v>
      </c>
      <c r="J35" s="4">
        <f t="shared" si="3"/>
        <v>124.41273691004753</v>
      </c>
    </row>
    <row r="36" spans="1:10" x14ac:dyDescent="0.3">
      <c r="A36" s="4">
        <v>33</v>
      </c>
      <c r="B36" s="4">
        <v>2012.95</v>
      </c>
      <c r="C36" s="4">
        <v>87.184700000000007</v>
      </c>
      <c r="D36" s="4">
        <v>101.92100000000001</v>
      </c>
      <c r="E36" s="4">
        <v>127.825</v>
      </c>
      <c r="G36" s="4">
        <v>2012.95</v>
      </c>
      <c r="H36" s="4">
        <f t="shared" si="1"/>
        <v>86.576070226309042</v>
      </c>
      <c r="I36" s="4">
        <f t="shared" si="2"/>
        <v>101.80799312762835</v>
      </c>
      <c r="J36" s="4">
        <f t="shared" si="3"/>
        <v>125.00733467639408</v>
      </c>
    </row>
    <row r="37" spans="1:10" x14ac:dyDescent="0.3">
      <c r="A37" s="4">
        <v>34</v>
      </c>
      <c r="B37" s="4">
        <v>2013.15</v>
      </c>
      <c r="C37" s="4">
        <v>87.340199999999996</v>
      </c>
      <c r="D37" s="4">
        <v>101.624</v>
      </c>
      <c r="E37" s="4">
        <v>128.47</v>
      </c>
      <c r="G37" s="4">
        <v>2013.15</v>
      </c>
      <c r="H37" s="4">
        <f t="shared" si="1"/>
        <v>86.730484692610929</v>
      </c>
      <c r="I37" s="4">
        <f t="shared" si="2"/>
        <v>101.51132243210037</v>
      </c>
      <c r="J37" s="4">
        <f t="shared" si="3"/>
        <v>125.63811684628475</v>
      </c>
    </row>
    <row r="38" spans="1:10" x14ac:dyDescent="0.3">
      <c r="A38" s="4">
        <v>35</v>
      </c>
      <c r="B38" s="4">
        <v>2013.35</v>
      </c>
      <c r="C38" s="4">
        <v>87.608800000000002</v>
      </c>
      <c r="D38" s="4">
        <v>101.479</v>
      </c>
      <c r="E38" s="4">
        <v>129.077</v>
      </c>
      <c r="G38" s="4">
        <v>2013.35</v>
      </c>
      <c r="H38" s="4">
        <f t="shared" si="1"/>
        <v>86.997209616396731</v>
      </c>
      <c r="I38" s="4">
        <f t="shared" si="2"/>
        <v>101.36648320364397</v>
      </c>
      <c r="J38" s="4">
        <f t="shared" si="3"/>
        <v>126.23173665577875</v>
      </c>
    </row>
    <row r="39" spans="1:10" x14ac:dyDescent="0.3">
      <c r="A39" s="4">
        <v>36</v>
      </c>
      <c r="B39" s="4">
        <v>2013.55</v>
      </c>
      <c r="C39" s="4">
        <v>87.990200000000002</v>
      </c>
      <c r="D39" s="4">
        <v>101.559</v>
      </c>
      <c r="E39" s="4">
        <v>129.49600000000001</v>
      </c>
      <c r="G39" s="4">
        <v>2013.55</v>
      </c>
      <c r="H39" s="4">
        <f t="shared" si="1"/>
        <v>87.37594709194363</v>
      </c>
      <c r="I39" s="4">
        <f t="shared" si="2"/>
        <v>101.44639450210266</v>
      </c>
      <c r="J39" s="4">
        <f t="shared" si="3"/>
        <v>126.64150057699455</v>
      </c>
    </row>
    <row r="40" spans="1:10" x14ac:dyDescent="0.3">
      <c r="A40" s="4">
        <v>37</v>
      </c>
      <c r="B40" s="4">
        <v>2013.75</v>
      </c>
      <c r="C40" s="4">
        <v>88.258700000000005</v>
      </c>
      <c r="D40" s="4">
        <v>101.752</v>
      </c>
      <c r="E40" s="4">
        <v>129.65199999999999</v>
      </c>
      <c r="G40" s="4">
        <v>2013.75</v>
      </c>
      <c r="H40" s="4">
        <f t="shared" si="1"/>
        <v>87.642572713821835</v>
      </c>
      <c r="I40" s="4">
        <f t="shared" si="2"/>
        <v>101.6391805096343</v>
      </c>
      <c r="J40" s="4">
        <f t="shared" si="3"/>
        <v>126.79406184599134</v>
      </c>
    </row>
    <row r="41" spans="1:10" x14ac:dyDescent="0.3">
      <c r="A41" s="4">
        <v>38</v>
      </c>
      <c r="B41" s="4">
        <v>2013.95</v>
      </c>
      <c r="C41" s="4">
        <v>88.150599999999997</v>
      </c>
      <c r="D41" s="4">
        <v>101.908</v>
      </c>
      <c r="E41" s="4">
        <v>129.619</v>
      </c>
      <c r="G41" s="4">
        <v>2013.95</v>
      </c>
      <c r="H41" s="4">
        <f t="shared" si="1"/>
        <v>87.53522735171741</v>
      </c>
      <c r="I41" s="4">
        <f t="shared" si="2"/>
        <v>101.79500754162881</v>
      </c>
      <c r="J41" s="4">
        <f t="shared" si="3"/>
        <v>126.76178926985742</v>
      </c>
    </row>
    <row r="42" spans="1:10" x14ac:dyDescent="0.3">
      <c r="A42" s="4">
        <v>39</v>
      </c>
      <c r="B42" s="4">
        <v>2014.15</v>
      </c>
      <c r="C42" s="4">
        <v>87.552700000000002</v>
      </c>
      <c r="D42" s="4">
        <v>101.875</v>
      </c>
      <c r="E42" s="4">
        <v>129.511</v>
      </c>
      <c r="G42" s="4">
        <v>2014.15</v>
      </c>
      <c r="H42" s="4">
        <f t="shared" si="1"/>
        <v>86.941501246238929</v>
      </c>
      <c r="I42" s="4">
        <f t="shared" si="2"/>
        <v>101.76204413101458</v>
      </c>
      <c r="J42" s="4">
        <f t="shared" si="3"/>
        <v>126.65616992978269</v>
      </c>
    </row>
    <row r="43" spans="1:10" x14ac:dyDescent="0.3">
      <c r="A43" s="4">
        <v>40</v>
      </c>
      <c r="B43" s="4">
        <v>2014.34</v>
      </c>
      <c r="C43" s="4">
        <v>86.615600000000001</v>
      </c>
      <c r="D43" s="4">
        <v>101.654</v>
      </c>
      <c r="E43" s="4">
        <v>129.36500000000001</v>
      </c>
      <c r="G43" s="4">
        <v>2014.34</v>
      </c>
      <c r="H43" s="4">
        <f t="shared" si="1"/>
        <v>86.010943070216371</v>
      </c>
      <c r="I43" s="4">
        <f t="shared" si="2"/>
        <v>101.54128916902239</v>
      </c>
      <c r="J43" s="4">
        <f t="shared" si="3"/>
        <v>126.51338822931133</v>
      </c>
    </row>
    <row r="44" spans="1:10" x14ac:dyDescent="0.3">
      <c r="A44" s="4">
        <v>41</v>
      </c>
      <c r="B44" s="4">
        <v>2014.52</v>
      </c>
      <c r="C44" s="4">
        <v>85.5655</v>
      </c>
      <c r="D44" s="4">
        <v>101.319</v>
      </c>
      <c r="E44" s="4">
        <v>129.44499999999999</v>
      </c>
      <c r="G44" s="4">
        <v>2014.52</v>
      </c>
      <c r="H44" s="4">
        <f t="shared" si="1"/>
        <v>84.968173738617509</v>
      </c>
      <c r="I44" s="4">
        <f t="shared" si="2"/>
        <v>101.20666060672654</v>
      </c>
      <c r="J44" s="4">
        <f t="shared" si="3"/>
        <v>126.59162477751481</v>
      </c>
    </row>
    <row r="45" spans="1:10" x14ac:dyDescent="0.3">
      <c r="A45" s="4">
        <v>42</v>
      </c>
      <c r="B45" s="4">
        <v>2014.71</v>
      </c>
      <c r="C45" s="4">
        <v>84.477800000000002</v>
      </c>
      <c r="D45" s="4">
        <v>100.985</v>
      </c>
      <c r="E45" s="4">
        <v>129.94</v>
      </c>
      <c r="G45" s="4">
        <v>2014.71</v>
      </c>
      <c r="H45" s="4">
        <f t="shared" si="1"/>
        <v>83.888066889764943</v>
      </c>
      <c r="I45" s="4">
        <f t="shared" si="2"/>
        <v>100.87303093566142</v>
      </c>
      <c r="J45" s="4">
        <f t="shared" si="3"/>
        <v>127.07571341952392</v>
      </c>
    </row>
    <row r="46" spans="1:10" x14ac:dyDescent="0.3">
      <c r="A46" s="4">
        <v>43</v>
      </c>
      <c r="B46" s="4">
        <v>2014.89</v>
      </c>
      <c r="C46" s="4">
        <v>83.277000000000001</v>
      </c>
      <c r="D46" s="4">
        <v>100.68899999999999</v>
      </c>
      <c r="E46" s="4">
        <v>130.69800000000001</v>
      </c>
      <c r="G46" s="4">
        <v>2014.89</v>
      </c>
      <c r="H46" s="4">
        <f t="shared" si="1"/>
        <v>82.695649583428491</v>
      </c>
      <c r="I46" s="4">
        <f t="shared" si="2"/>
        <v>100.57735913136419</v>
      </c>
      <c r="J46" s="4">
        <f t="shared" si="3"/>
        <v>127.81700471375204</v>
      </c>
    </row>
    <row r="47" spans="1:10" x14ac:dyDescent="0.3">
      <c r="A47" s="4">
        <v>44</v>
      </c>
      <c r="B47" s="4">
        <v>2015.06</v>
      </c>
      <c r="C47" s="4">
        <v>81.849800000000002</v>
      </c>
      <c r="D47" s="4">
        <v>100.31699999999999</v>
      </c>
      <c r="E47" s="4">
        <v>131.53100000000001</v>
      </c>
      <c r="G47" s="4">
        <v>2015.06</v>
      </c>
      <c r="H47" s="4">
        <f t="shared" si="1"/>
        <v>81.278412758309088</v>
      </c>
      <c r="I47" s="4">
        <f t="shared" si="2"/>
        <v>100.20577159353118</v>
      </c>
      <c r="J47" s="4">
        <f t="shared" si="3"/>
        <v>128.63164277192089</v>
      </c>
    </row>
    <row r="48" spans="1:10" x14ac:dyDescent="0.3">
      <c r="A48" s="4">
        <v>45</v>
      </c>
      <c r="B48" s="4">
        <v>2015.21</v>
      </c>
      <c r="C48" s="4">
        <v>80.045400000000001</v>
      </c>
      <c r="D48" s="4">
        <v>99.87</v>
      </c>
      <c r="E48" s="4">
        <v>132.327</v>
      </c>
      <c r="G48" s="4">
        <v>2015.21</v>
      </c>
      <c r="H48" s="4">
        <f t="shared" si="1"/>
        <v>79.486609137761533</v>
      </c>
      <c r="I48" s="4">
        <f t="shared" si="2"/>
        <v>99.759267213393144</v>
      </c>
      <c r="J48" s="4">
        <f t="shared" si="3"/>
        <v>129.41009642654566</v>
      </c>
    </row>
    <row r="49" spans="1:10" x14ac:dyDescent="0.3">
      <c r="A49" s="4">
        <v>46</v>
      </c>
      <c r="B49" s="4">
        <v>2015.34</v>
      </c>
      <c r="C49" s="4">
        <v>78.052400000000006</v>
      </c>
      <c r="D49" s="4">
        <v>99.3476</v>
      </c>
      <c r="E49" s="4">
        <v>132.78299999999999</v>
      </c>
      <c r="G49" s="4">
        <v>2015.34</v>
      </c>
      <c r="H49" s="4">
        <f t="shared" si="1"/>
        <v>77.50752211949991</v>
      </c>
      <c r="I49" s="4">
        <f t="shared" si="2"/>
        <v>99.237446434457752</v>
      </c>
      <c r="J49" s="4">
        <f t="shared" si="3"/>
        <v>129.85604475130555</v>
      </c>
    </row>
    <row r="50" spans="1:10" x14ac:dyDescent="0.3">
      <c r="A50" s="4">
        <v>47</v>
      </c>
      <c r="B50" s="4">
        <v>2015.48</v>
      </c>
      <c r="C50" s="4">
        <v>76.0595</v>
      </c>
      <c r="D50" s="4">
        <v>98.749700000000004</v>
      </c>
      <c r="E50" s="4">
        <v>132.90100000000001</v>
      </c>
      <c r="G50" s="4">
        <v>2015.48</v>
      </c>
      <c r="H50" s="4">
        <f t="shared" si="1"/>
        <v>75.528534403145883</v>
      </c>
      <c r="I50" s="4">
        <f t="shared" si="2"/>
        <v>98.640209367601969</v>
      </c>
      <c r="J50" s="4">
        <f t="shared" si="3"/>
        <v>129.97144365990573</v>
      </c>
    </row>
    <row r="51" spans="1:10" x14ac:dyDescent="0.3">
      <c r="A51" s="4">
        <v>48</v>
      </c>
      <c r="B51" s="4">
        <v>2015.62</v>
      </c>
      <c r="C51" s="4">
        <v>74.066699999999997</v>
      </c>
      <c r="D51" s="4">
        <v>98.227199999999996</v>
      </c>
      <c r="E51" s="4">
        <v>132.755</v>
      </c>
      <c r="G51" s="4">
        <v>2015.62</v>
      </c>
      <c r="H51" s="4">
        <f t="shared" si="1"/>
        <v>73.549645988699439</v>
      </c>
      <c r="I51" s="4">
        <f t="shared" si="2"/>
        <v>98.118288699543513</v>
      </c>
      <c r="J51" s="4">
        <f t="shared" si="3"/>
        <v>129.82866195943436</v>
      </c>
    </row>
    <row r="52" spans="1:10" x14ac:dyDescent="0.3">
      <c r="A52" s="4">
        <v>49</v>
      </c>
      <c r="B52" s="4">
        <v>2015.77</v>
      </c>
      <c r="C52" s="4">
        <v>72.111699999999999</v>
      </c>
      <c r="D52" s="4">
        <v>97.817700000000002</v>
      </c>
      <c r="E52" s="4">
        <v>132.53399999999999</v>
      </c>
      <c r="G52" s="4">
        <v>2015.77</v>
      </c>
      <c r="H52" s="4">
        <f t="shared" si="1"/>
        <v>71.608293695321876</v>
      </c>
      <c r="I52" s="4">
        <f t="shared" si="2"/>
        <v>97.709242740557983</v>
      </c>
      <c r="J52" s="4">
        <f t="shared" si="3"/>
        <v>129.61253349502218</v>
      </c>
    </row>
    <row r="53" spans="1:10" x14ac:dyDescent="0.3">
      <c r="A53" s="4">
        <v>50</v>
      </c>
      <c r="B53" s="4">
        <v>2015.94</v>
      </c>
      <c r="C53" s="4">
        <v>70.722200000000001</v>
      </c>
      <c r="D53" s="4">
        <v>97.521199999999993</v>
      </c>
      <c r="E53" s="4">
        <v>132.27600000000001</v>
      </c>
      <c r="G53" s="4">
        <v>2015.94</v>
      </c>
      <c r="H53" s="4">
        <f t="shared" si="1"/>
        <v>70.228493689363773</v>
      </c>
      <c r="I53" s="4">
        <f t="shared" si="2"/>
        <v>97.413071490645379</v>
      </c>
      <c r="J53" s="4">
        <f t="shared" si="3"/>
        <v>129.36022062706596</v>
      </c>
    </row>
    <row r="54" spans="1:10" x14ac:dyDescent="0.3">
      <c r="A54" s="4">
        <v>51</v>
      </c>
      <c r="B54" s="4">
        <v>2016.12</v>
      </c>
      <c r="C54" s="4">
        <v>70.387699999999995</v>
      </c>
      <c r="D54" s="4">
        <v>97.337699999999998</v>
      </c>
      <c r="E54" s="4">
        <v>131.941</v>
      </c>
      <c r="G54" s="4">
        <v>2016.12</v>
      </c>
      <c r="H54" s="4">
        <f t="shared" si="1"/>
        <v>69.896328808476397</v>
      </c>
      <c r="I54" s="4">
        <f t="shared" si="2"/>
        <v>97.229774949805716</v>
      </c>
      <c r="J54" s="4">
        <f t="shared" si="3"/>
        <v>129.0326050814638</v>
      </c>
    </row>
    <row r="55" spans="1:10" x14ac:dyDescent="0.3">
      <c r="A55" s="4">
        <v>52</v>
      </c>
      <c r="B55" s="4">
        <v>2016.31</v>
      </c>
      <c r="C55" s="4">
        <v>70.957300000000004</v>
      </c>
      <c r="D55" s="4">
        <v>97.191999999999993</v>
      </c>
      <c r="E55" s="4">
        <v>131.381</v>
      </c>
      <c r="G55" s="4">
        <v>2016.31</v>
      </c>
      <c r="H55" s="4">
        <f t="shared" si="1"/>
        <v>70.461952474107022</v>
      </c>
      <c r="I55" s="4">
        <f t="shared" si="2"/>
        <v>97.084236497487794</v>
      </c>
      <c r="J55" s="4">
        <f t="shared" si="3"/>
        <v>128.48494924403934</v>
      </c>
    </row>
    <row r="56" spans="1:10" x14ac:dyDescent="0.3">
      <c r="A56" s="4">
        <v>53</v>
      </c>
      <c r="B56" s="4">
        <v>2016.5</v>
      </c>
      <c r="C56" s="4">
        <v>71.941199999999995</v>
      </c>
      <c r="D56" s="4">
        <v>96.970799999999997</v>
      </c>
      <c r="E56" s="4">
        <v>130.595</v>
      </c>
      <c r="G56" s="4">
        <v>2016.5</v>
      </c>
      <c r="H56" s="4">
        <f t="shared" si="1"/>
        <v>71.438983942881535</v>
      </c>
      <c r="I56" s="4">
        <f t="shared" si="2"/>
        <v>96.863281757249453</v>
      </c>
      <c r="J56" s="4">
        <f t="shared" si="3"/>
        <v>127.71627515794003</v>
      </c>
    </row>
    <row r="57" spans="1:10" x14ac:dyDescent="0.3">
      <c r="A57" s="4">
        <v>54</v>
      </c>
      <c r="B57" s="4">
        <v>2016.69</v>
      </c>
      <c r="C57" s="4">
        <v>73.000299999999996</v>
      </c>
      <c r="D57" s="4">
        <v>96.636700000000005</v>
      </c>
      <c r="E57" s="4">
        <v>129.77099999999999</v>
      </c>
      <c r="G57" s="4">
        <v>2016.69</v>
      </c>
      <c r="H57" s="4">
        <f t="shared" si="1"/>
        <v>72.490690446163455</v>
      </c>
      <c r="I57" s="4">
        <f t="shared" si="2"/>
        <v>96.529552197061278</v>
      </c>
      <c r="J57" s="4">
        <f t="shared" si="3"/>
        <v>126.91043871144404</v>
      </c>
    </row>
    <row r="58" spans="1:10" x14ac:dyDescent="0.3">
      <c r="A58" s="4">
        <v>55</v>
      </c>
      <c r="B58" s="4">
        <v>2016.88</v>
      </c>
      <c r="C58" s="4">
        <v>73.833600000000004</v>
      </c>
      <c r="D58" s="4">
        <v>96.189499999999995</v>
      </c>
      <c r="E58" s="4">
        <v>128.98500000000001</v>
      </c>
      <c r="G58" s="4">
        <v>2016.88</v>
      </c>
      <c r="H58" s="4">
        <f t="shared" si="1"/>
        <v>73.318173242107974</v>
      </c>
      <c r="I58" s="4">
        <f t="shared" si="2"/>
        <v>96.082848038677071</v>
      </c>
      <c r="J58" s="4">
        <f t="shared" si="3"/>
        <v>126.14176462534475</v>
      </c>
    </row>
  </sheetData>
  <sortState xmlns:xlrd2="http://schemas.microsoft.com/office/spreadsheetml/2017/richdata2" ref="B4:E58">
    <sortCondition ref="B6:B58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颜色分段折线图</vt:lpstr>
      <vt:lpstr>区间拓展折线图</vt:lpstr>
      <vt:lpstr>对比折线图</vt:lpstr>
      <vt:lpstr>比率折线图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李集达</dc:creator>
  <cp:lastModifiedBy>李集达</cp:lastModifiedBy>
  <dcterms:created xsi:type="dcterms:W3CDTF">2025-10-21T04:00:04Z</dcterms:created>
  <dcterms:modified xsi:type="dcterms:W3CDTF">2025-11-02T02:11:41Z</dcterms:modified>
</cp:coreProperties>
</file>