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excel\练习\"/>
    </mc:Choice>
  </mc:AlternateContent>
  <xr:revisionPtr revIDLastSave="0" documentId="13_ncr:1_{BD3F2273-77B4-4503-B65F-D8801A05EF50}" xr6:coauthVersionLast="47" xr6:coauthVersionMax="47" xr10:uidLastSave="{00000000-0000-0000-0000-000000000000}"/>
  <bookViews>
    <workbookView xWindow="-110" yWindow="-110" windowWidth="25820" windowHeight="16220" xr2:uid="{708CD353-FFBB-49B8-9D78-AE55BFB9BD26}"/>
  </bookViews>
  <sheets>
    <sheet name="飓风图(两组）" sheetId="1" r:id="rId1"/>
    <sheet name="对比条形图(两组）" sheetId="2" r:id="rId2"/>
    <sheet name="斜率图（两组）" sheetId="5" r:id="rId3"/>
    <sheet name="表型图（可视化）" sheetId="3" r:id="rId4"/>
    <sheet name="杠铃图（2~3组）"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5" l="1"/>
  <c r="D17" i="5"/>
  <c r="H4" i="4"/>
  <c r="H5" i="4"/>
  <c r="H6" i="4"/>
  <c r="H7" i="4"/>
  <c r="H8" i="4"/>
  <c r="H9" i="4"/>
  <c r="H10" i="4"/>
  <c r="H11" i="4"/>
  <c r="H12" i="4"/>
  <c r="H3" i="4"/>
  <c r="G4" i="4"/>
  <c r="G5" i="4"/>
  <c r="G6" i="4"/>
  <c r="G7" i="4"/>
  <c r="G8" i="4"/>
  <c r="G9" i="4"/>
  <c r="G10" i="4"/>
  <c r="G11" i="4"/>
  <c r="G12" i="4"/>
  <c r="G3" i="4"/>
  <c r="F4" i="4"/>
  <c r="F5" i="4"/>
  <c r="F6" i="4"/>
  <c r="F7" i="4"/>
  <c r="F8" i="4"/>
  <c r="F9" i="4"/>
  <c r="F10" i="4"/>
  <c r="F11" i="4"/>
  <c r="F12" i="4"/>
  <c r="F3" i="4"/>
  <c r="E4" i="4" a="1"/>
  <c r="E4" i="4" s="1"/>
  <c r="E5" i="4" a="1"/>
  <c r="E5" i="4" s="1"/>
  <c r="E6" i="4" a="1"/>
  <c r="E6" i="4" s="1"/>
  <c r="E7" i="4" a="1"/>
  <c r="E7" i="4" s="1"/>
  <c r="E8" i="4" a="1"/>
  <c r="E8" i="4" s="1"/>
  <c r="E9" i="4" a="1"/>
  <c r="E9" i="4" s="1"/>
  <c r="E10" i="4" a="1"/>
  <c r="E10" i="4" s="1"/>
  <c r="E11" i="4" a="1"/>
  <c r="E11" i="4" s="1"/>
  <c r="E12" i="4" a="1"/>
  <c r="E12" i="4" s="1"/>
  <c r="E3" i="4" a="1"/>
  <c r="E3" i="4" s="1"/>
  <c r="C14" i="1"/>
  <c r="C13" i="1"/>
  <c r="C12" i="1"/>
  <c r="C11" i="1"/>
  <c r="E12" i="1"/>
  <c r="E13" i="1"/>
  <c r="E14" i="1"/>
  <c r="E11" i="1"/>
  <c r="D12" i="1"/>
  <c r="D13" i="1"/>
  <c r="D14" i="1"/>
  <c r="D11" i="1"/>
  <c r="B12" i="1"/>
  <c r="B13" i="1"/>
  <c r="B14" i="1"/>
  <c r="B11" i="1"/>
  <c r="A12" i="1"/>
  <c r="A13" i="1"/>
  <c r="A14" i="1"/>
  <c r="E4" i="1"/>
  <c r="E5" i="1"/>
  <c r="E6" i="1"/>
  <c r="E3" i="1"/>
  <c r="D5" i="1"/>
  <c r="D6" i="1" s="1"/>
  <c r="D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<sst xmlns="http://schemas.openxmlformats.org/spreadsheetml/2006/main" count="128" uniqueCount="106">
  <si>
    <t xml:space="preserve"> Conservative
（Government）</t>
    <phoneticPr fontId="1" type="noConversion"/>
  </si>
  <si>
    <t>Labour</t>
    <phoneticPr fontId="1" type="noConversion"/>
  </si>
  <si>
    <t>DUP</t>
    <phoneticPr fontId="1" type="noConversion"/>
  </si>
  <si>
    <t>Other</t>
    <phoneticPr fontId="1" type="noConversion"/>
  </si>
  <si>
    <t>For</t>
    <phoneticPr fontId="1" type="noConversion"/>
  </si>
  <si>
    <t>Aux1</t>
    <phoneticPr fontId="1" type="noConversion"/>
  </si>
  <si>
    <t>数据源</t>
    <phoneticPr fontId="1" type="noConversion"/>
  </si>
  <si>
    <t>作图数据</t>
    <phoneticPr fontId="1" type="noConversion"/>
  </si>
  <si>
    <t>Party</t>
    <phoneticPr fontId="1" type="noConversion"/>
  </si>
  <si>
    <t>Against</t>
    <phoneticPr fontId="1" type="noConversion"/>
  </si>
  <si>
    <t>Start</t>
    <phoneticPr fontId="1" type="noConversion"/>
  </si>
  <si>
    <t>Tag</t>
    <phoneticPr fontId="1" type="noConversion"/>
  </si>
  <si>
    <t>3 Voted "For"</t>
    <phoneticPr fontId="1" type="noConversion"/>
  </si>
  <si>
    <t xml:space="preserve"> Conservative
</t>
    <phoneticPr fontId="1" type="noConversion"/>
  </si>
  <si>
    <t>各国与英国贸易情况Imports from Britian</t>
    <phoneticPr fontId="1" type="noConversion"/>
  </si>
  <si>
    <t>Reigon</t>
    <phoneticPr fontId="1" type="noConversion"/>
  </si>
  <si>
    <t>Goods</t>
    <phoneticPr fontId="1" type="noConversion"/>
  </si>
  <si>
    <t>Services</t>
    <phoneticPr fontId="1" type="noConversion"/>
  </si>
  <si>
    <t>Aux</t>
    <phoneticPr fontId="1" type="noConversion"/>
  </si>
  <si>
    <t>Ireland</t>
    <phoneticPr fontId="1" type="noConversion"/>
  </si>
  <si>
    <t>Netherlands</t>
    <phoneticPr fontId="1" type="noConversion"/>
  </si>
  <si>
    <t>Belgium</t>
    <phoneticPr fontId="1" type="noConversion"/>
  </si>
  <si>
    <t xml:space="preserve">Euro area </t>
    <phoneticPr fontId="1" type="noConversion"/>
  </si>
  <si>
    <t>Germany</t>
    <phoneticPr fontId="1" type="noConversion"/>
  </si>
  <si>
    <t>Spain</t>
    <phoneticPr fontId="1" type="noConversion"/>
  </si>
  <si>
    <t>Exports to Britian</t>
    <phoneticPr fontId="1" type="noConversion"/>
  </si>
  <si>
    <t>数字化数据源:</t>
    <phoneticPr fontId="1" type="noConversion"/>
  </si>
  <si>
    <t>Company</t>
    <phoneticPr fontId="1" type="noConversion"/>
  </si>
  <si>
    <t>Sales,m</t>
    <phoneticPr fontId="1" type="noConversion"/>
  </si>
  <si>
    <t>Revenues,#bn</t>
    <phoneticPr fontId="1" type="noConversion"/>
  </si>
  <si>
    <t>Operating
profit,#bn</t>
    <phoneticPr fontId="1" type="noConversion"/>
  </si>
  <si>
    <t>Volkswagen
Group</t>
    <phoneticPr fontId="1" type="noConversion"/>
  </si>
  <si>
    <t>Volk</t>
    <phoneticPr fontId="1" type="noConversion"/>
  </si>
  <si>
    <t>Audi</t>
    <phoneticPr fontId="1" type="noConversion"/>
  </si>
  <si>
    <t>Skoda/SEAT</t>
    <phoneticPr fontId="1" type="noConversion"/>
  </si>
  <si>
    <t>Porsche</t>
    <phoneticPr fontId="1" type="noConversion"/>
  </si>
  <si>
    <t>Bentley</t>
    <phoneticPr fontId="1" type="noConversion"/>
  </si>
  <si>
    <t>Mercedes-Benz</t>
    <phoneticPr fontId="1" type="noConversion"/>
  </si>
  <si>
    <t>BMW</t>
    <phoneticPr fontId="1" type="noConversion"/>
  </si>
  <si>
    <t>Tesla</t>
    <phoneticPr fontId="1" type="noConversion"/>
  </si>
  <si>
    <t>Ferrari</t>
    <phoneticPr fontId="1" type="noConversion"/>
  </si>
  <si>
    <t>Volkswagen Group</t>
    <phoneticPr fontId="1" type="noConversion"/>
  </si>
  <si>
    <t xml:space="preserve">   Volkswagen</t>
    <phoneticPr fontId="1" type="noConversion"/>
  </si>
  <si>
    <t xml:space="preserve">   Audi</t>
    <phoneticPr fontId="1" type="noConversion"/>
  </si>
  <si>
    <t xml:space="preserve">   Skoda/SEAT</t>
    <phoneticPr fontId="1" type="noConversion"/>
  </si>
  <si>
    <t xml:space="preserve">   Porsche</t>
    <phoneticPr fontId="1" type="noConversion"/>
  </si>
  <si>
    <t xml:space="preserve">   Bentley</t>
    <phoneticPr fontId="1" type="noConversion"/>
  </si>
  <si>
    <r>
      <t>Sales,</t>
    </r>
    <r>
      <rPr>
        <sz val="11"/>
        <color theme="1"/>
        <rFont val="等线"/>
        <family val="3"/>
        <charset val="134"/>
        <scheme val="minor"/>
      </rPr>
      <t>m</t>
    </r>
    <phoneticPr fontId="1" type="noConversion"/>
  </si>
  <si>
    <r>
      <t xml:space="preserve">  Revenues,</t>
    </r>
    <r>
      <rPr>
        <sz val="11"/>
        <color theme="1"/>
        <rFont val="等线"/>
        <family val="3"/>
        <charset val="134"/>
        <scheme val="minor"/>
      </rPr>
      <t>#bn</t>
    </r>
    <phoneticPr fontId="1" type="noConversion"/>
  </si>
  <si>
    <r>
      <rPr>
        <b/>
        <sz val="11"/>
        <color theme="1"/>
        <rFont val="等线"/>
        <family val="3"/>
        <charset val="134"/>
        <scheme val="minor"/>
      </rPr>
      <t>Operating profit,</t>
    </r>
    <r>
      <rPr>
        <sz val="11"/>
        <color theme="1"/>
        <rFont val="等线"/>
        <family val="3"/>
        <charset val="134"/>
        <scheme val="minor"/>
      </rPr>
      <t>#bn</t>
    </r>
    <phoneticPr fontId="1" type="noConversion"/>
  </si>
  <si>
    <t xml:space="preserve">   Mercedes-Benz</t>
    <phoneticPr fontId="1" type="noConversion"/>
  </si>
  <si>
    <t xml:space="preserve">   BMW</t>
    <phoneticPr fontId="1" type="noConversion"/>
  </si>
  <si>
    <t xml:space="preserve">   Tesla</t>
    <phoneticPr fontId="1" type="noConversion"/>
  </si>
  <si>
    <t xml:space="preserve">   Ferrari</t>
    <phoneticPr fontId="1" type="noConversion"/>
  </si>
  <si>
    <t>数据源（数字化）：</t>
    <phoneticPr fontId="1" type="noConversion"/>
  </si>
  <si>
    <t>Country</t>
    <phoneticPr fontId="1" type="noConversion"/>
  </si>
  <si>
    <t>1970+</t>
    <phoneticPr fontId="1" type="noConversion"/>
  </si>
  <si>
    <t>Denmark</t>
    <phoneticPr fontId="1" type="noConversion"/>
  </si>
  <si>
    <t>Japan</t>
    <phoneticPr fontId="1" type="noConversion"/>
  </si>
  <si>
    <r>
      <t>China</t>
    </r>
    <r>
      <rPr>
        <sz val="11"/>
        <color theme="1"/>
        <rFont val="Segoe UI Emoji"/>
        <family val="2"/>
      </rPr>
      <t>⬆️</t>
    </r>
    <phoneticPr fontId="1" type="noConversion"/>
  </si>
  <si>
    <t>Italy</t>
    <phoneticPr fontId="1" type="noConversion"/>
  </si>
  <si>
    <t>South Korea</t>
    <phoneticPr fontId="1" type="noConversion"/>
  </si>
  <si>
    <t>OECD average</t>
    <phoneticPr fontId="1" type="noConversion"/>
  </si>
  <si>
    <t>France</t>
    <phoneticPr fontId="1" type="noConversion"/>
  </si>
  <si>
    <t>United States</t>
    <phoneticPr fontId="1" type="noConversion"/>
  </si>
  <si>
    <t>辅组数据源（带公式）：</t>
    <phoneticPr fontId="1" type="noConversion"/>
  </si>
  <si>
    <t>Lexel of date</t>
    <phoneticPr fontId="1" type="noConversion"/>
  </si>
  <si>
    <t xml:space="preserve">Lot1 </t>
    <phoneticPr fontId="1" type="noConversion"/>
  </si>
  <si>
    <t>Lot2</t>
  </si>
  <si>
    <t>Lot0</t>
    <phoneticPr fontId="1" type="noConversion"/>
  </si>
  <si>
    <t>Britain</t>
    <phoneticPr fontId="1" type="noConversion"/>
  </si>
  <si>
    <t>主标题</t>
    <phoneticPr fontId="1" type="noConversion"/>
  </si>
  <si>
    <t>副标题</t>
    <phoneticPr fontId="1" type="noConversion"/>
  </si>
  <si>
    <t>来源</t>
    <phoneticPr fontId="1" type="noConversion"/>
  </si>
  <si>
    <t>单位</t>
    <phoneticPr fontId="1" type="noConversion"/>
  </si>
  <si>
    <t>附注</t>
    <phoneticPr fontId="1" type="noConversion"/>
  </si>
  <si>
    <t>符号</t>
    <phoneticPr fontId="1" type="noConversion"/>
  </si>
  <si>
    <t>The new normal</t>
    <phoneticPr fontId="1" type="noConversion"/>
  </si>
  <si>
    <t>Female labour-force participation rate</t>
    <phoneticPr fontId="1" type="noConversion"/>
  </si>
  <si>
    <t>Source:OECD;ILO</t>
    <phoneticPr fontId="1" type="noConversion"/>
  </si>
  <si>
    <t>15-to 64-year-olds,%</t>
    <phoneticPr fontId="1" type="noConversion"/>
  </si>
  <si>
    <t>*Or closet thereafter Estimates</t>
    <phoneticPr fontId="1" type="noConversion"/>
  </si>
  <si>
    <t>⬆️</t>
    <phoneticPr fontId="1" type="noConversion"/>
  </si>
  <si>
    <t>注：英国的不同政党对脱欧方案的投标情况</t>
    <phoneticPr fontId="1" type="noConversion"/>
  </si>
  <si>
    <t>注：与英国进行频繁贸易往来的国家的进口贸易额占据各国自身GDP的百分比情况</t>
    <phoneticPr fontId="1" type="noConversion"/>
  </si>
  <si>
    <t>注：大众集团下的汽车品牌和世界上其他大型汽车品牌在2018年的销售数量、收入和营业利润的对比情况</t>
    <phoneticPr fontId="1" type="noConversion"/>
  </si>
  <si>
    <t>注：世界上不同国家15~64岁的女性就业率在两个不同年代的情况对比</t>
    <phoneticPr fontId="1" type="noConversion"/>
  </si>
  <si>
    <t>原始数据（同作图数据）</t>
    <phoneticPr fontId="1" type="noConversion"/>
  </si>
  <si>
    <t>序号</t>
    <phoneticPr fontId="1" type="noConversion"/>
  </si>
  <si>
    <t>名称</t>
    <phoneticPr fontId="1" type="noConversion"/>
  </si>
  <si>
    <t>数据</t>
    <phoneticPr fontId="1" type="noConversion"/>
  </si>
  <si>
    <t>No.</t>
    <phoneticPr fontId="1" type="noConversion"/>
  </si>
  <si>
    <t>regions</t>
    <phoneticPr fontId="1" type="noConversion"/>
  </si>
  <si>
    <t>2060 forecast</t>
    <phoneticPr fontId="1" type="noConversion"/>
  </si>
  <si>
    <t>Sub-Saharan Africe</t>
    <phoneticPr fontId="1" type="noConversion"/>
  </si>
  <si>
    <t>Latin Americe</t>
    <phoneticPr fontId="1" type="noConversion"/>
  </si>
  <si>
    <t xml:space="preserve">Europe </t>
    <phoneticPr fontId="1" type="noConversion"/>
  </si>
  <si>
    <t>Asia-Paciffic</t>
    <phoneticPr fontId="1" type="noConversion"/>
  </si>
  <si>
    <t>North Americe</t>
    <phoneticPr fontId="1" type="noConversion"/>
  </si>
  <si>
    <t>MENA*</t>
    <phoneticPr fontId="1" type="noConversion"/>
  </si>
  <si>
    <t>系列对齐线绘制数据</t>
    <phoneticPr fontId="1" type="noConversion"/>
  </si>
  <si>
    <t>NO.</t>
    <phoneticPr fontId="1" type="noConversion"/>
  </si>
  <si>
    <t>纵线起点高度</t>
    <phoneticPr fontId="1" type="noConversion"/>
  </si>
  <si>
    <t>纵线长度（等于上方数据最大值）</t>
    <phoneticPr fontId="1" type="noConversion"/>
  </si>
  <si>
    <t>注：世界上不同地区的基督教信徒数量与人口数量占比的实际值和未来的预测值对比情况</t>
    <phoneticPr fontId="1" type="noConversion"/>
  </si>
  <si>
    <t>Lot3</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</si>
</sst>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family val="2"/>
      <charset val="134"/>
      <scheme val="minor"/>
    </font>
    <font>
      <sz val="9"/>
      <name val="等线"/>
      <family val="2"/>
      <charset val="134"/>
      <scheme val="minor"/>
    </font>
    <font>
      <b/>
      <sz val="11"/>
      <color theme="1"/>
      <name val="等线"/>
      <family val="3"/>
      <charset val="134"/>
      <scheme val="minor"/>
    </font>
    <font>
      <b/>
      <sz val="12"/>
      <color theme="1"/>
      <name val="等线"/>
      <family val="3"/>
      <charset val="134"/>
      <scheme val="minor"/>
    </font>
    <font>
      <b/>
      <sz val="14"/>
      <color theme="1"/>
      <name val="等线"/>
      <family val="3"/>
      <charset val="134"/>
      <scheme val="minor"/>
    </font>
    <font>
      <sz val="11"/>
      <color theme="1"/>
      <name val="等线"/>
      <family val="3"/>
      <charset val="134"/>
      <scheme val="minor"/>
    </font>
    <font>
      <sz val="11"/>
      <color theme="1"/>
      <name val="Segoe UI Emoji"/>
      <family val="2"/>
    </font>
    <font>
      <b/>
      <sz val="11"/>
      <color theme="1"/>
      <name val="等线"/>
      <family val="2"/>
      <charset val="134"/>
      <scheme val="minor"/>
    </font>
    <font>
      <b/>
      <i/>
      <sz val="11"/>
      <color theme="1"/>
      <name val="等线"/>
      <family val="3"/>
      <charset val="134"/>
      <scheme val="minor"/>
    </font>
    <font>
      <sz val="11"/>
      <color rgb="FFF5F5F2"/>
      <name val="等线"/>
      <family val="2"/>
      <charset val="134"/>
      <scheme val="minor"/>
    </font>
    <font>
      <sz val="11"/>
      <color rgb="FFF5F5F2"/>
      <name val="等线"/>
      <family val="3"/>
      <charset val="134"/>
      <scheme val="minor"/>
    </font>
  </fonts>
  <fills count="5">
    <fill>
      <patternFill patternType="none"/>
    </fill>
    <fill>
      <patternFill patternType="gray125"/>
    </fill>
    <fill>
      <patternFill patternType="solid">
        <fgColor theme="0" tint="-0.14999847407452621"/>
        <bgColor indexed="64"/>
      </patternFill>
    </fill>
    <fill>
      <patternFill patternType="solid">
        <fgColor rgb="FF2C3E50"/>
        <bgColor indexed="64"/>
      </patternFill>
    </fill>
    <fill>
      <patternFill patternType="solid">
        <fgColor rgb="FFF5F5F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44">
    <xf numFmtId="0" fontId="0" fillId="0" borderId="0" xfId="0">
      <alignment vertical="center"/>
    </xf>
    <xf numFmtId="0" fontId="0" fillId="0" borderId="0" xfId="0"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lignment vertical="center"/>
    </xf>
    <xf numFmtId="0" fontId="0" fillId="0" borderId="0" xfId="0" applyAlignment="1">
      <alignment horizontal="left" vertical="center"/>
    </xf>
    <xf numFmtId="0" fontId="0" fillId="0" borderId="2" xfId="0" applyBorder="1">
      <alignment vertical="center"/>
    </xf>
    <xf numFmtId="0" fontId="2" fillId="0" borderId="0" xfId="0" applyFont="1" applyAlignment="1">
      <alignment horizontal="center" vertical="center"/>
    </xf>
    <xf numFmtId="0" fontId="4" fillId="0" borderId="2" xfId="0" applyFont="1" applyBorder="1">
      <alignment vertical="center"/>
    </xf>
    <xf numFmtId="0" fontId="0" fillId="0" borderId="0" xfId="0" applyAlignment="1">
      <alignment horizontal="left" vertical="center" indent="1"/>
    </xf>
    <xf numFmtId="0" fontId="5" fillId="0" borderId="0" xfId="0" applyFont="1" applyAlignment="1">
      <alignment horizontal="left" vertical="center" indent="1"/>
    </xf>
    <xf numFmtId="176" fontId="0" fillId="0" borderId="0" xfId="0" applyNumberFormat="1" applyAlignment="1">
      <alignment horizontal="left" vertical="center" indent="1"/>
    </xf>
    <xf numFmtId="176" fontId="0" fillId="0" borderId="0" xfId="0" applyNumberFormat="1" applyAlignment="1">
      <alignment horizontal="center" vertical="center"/>
    </xf>
    <xf numFmtId="0" fontId="2" fillId="0" borderId="0" xfId="0" applyFont="1" applyAlignment="1">
      <alignment horizontal="left" vertical="center" indent="1"/>
    </xf>
    <xf numFmtId="0" fontId="0" fillId="0" borderId="1" xfId="0" applyBorder="1" applyAlignment="1">
      <alignment horizontal="left" vertical="center" indent="1"/>
    </xf>
    <xf numFmtId="0" fontId="7" fillId="0" borderId="3" xfId="0" applyFont="1" applyBorder="1" applyAlignment="1">
      <alignment horizontal="left" vertical="center" indent="1"/>
    </xf>
    <xf numFmtId="0" fontId="2" fillId="0" borderId="3" xfId="0" applyFont="1" applyBorder="1" applyAlignment="1">
      <alignment horizontal="left" vertical="center" indent="1"/>
    </xf>
    <xf numFmtId="0" fontId="0" fillId="0" borderId="3" xfId="0" applyBorder="1" applyAlignment="1">
      <alignment horizontal="left" vertical="center" indent="1"/>
    </xf>
    <xf numFmtId="0" fontId="0" fillId="0" borderId="1" xfId="0" applyBorder="1" applyAlignment="1">
      <alignment horizontal="center" vertical="center"/>
    </xf>
    <xf numFmtId="0" fontId="8" fillId="0" borderId="0" xfId="0" applyFont="1">
      <alignment vertical="center"/>
    </xf>
    <xf numFmtId="0" fontId="0" fillId="0" borderId="0" xfId="0">
      <alignment vertical="center"/>
    </xf>
    <xf numFmtId="0" fontId="8" fillId="0" borderId="0" xfId="0" applyFont="1" applyAlignment="1">
      <alignment horizontal="left" vertical="center" indent="1"/>
    </xf>
    <xf numFmtId="0" fontId="2" fillId="0" borderId="0" xfId="0" applyFont="1" applyAlignment="1">
      <alignment horizontal="left" vertical="center" wrapText="1" indent="1"/>
    </xf>
    <xf numFmtId="0" fontId="2" fillId="0" borderId="0" xfId="0" applyFont="1" applyAlignment="1">
      <alignment horizontal="left" vertical="center" indent="1"/>
    </xf>
    <xf numFmtId="176" fontId="8" fillId="0" borderId="0" xfId="0" applyNumberFormat="1" applyFont="1" applyAlignment="1">
      <alignment horizontal="left" vertical="center" indent="1"/>
    </xf>
    <xf numFmtId="0" fontId="0" fillId="0" borderId="0" xfId="0" applyAlignment="1">
      <alignment horizontal="center" vertical="center"/>
    </xf>
    <xf numFmtId="0" fontId="2" fillId="0" borderId="0" xfId="0" applyFont="1" applyAlignment="1">
      <alignment horizontal="center" vertical="center"/>
    </xf>
    <xf numFmtId="0" fontId="2" fillId="2" borderId="0" xfId="0" applyFont="1" applyFill="1" applyAlignment="1">
      <alignment horizontal="left" vertical="center" indent="1"/>
    </xf>
    <xf numFmtId="0" fontId="6" fillId="0" borderId="1" xfId="0" applyFont="1" applyBorder="1" applyAlignment="1">
      <alignment horizontal="left" vertical="center" indent="1"/>
    </xf>
    <xf numFmtId="0" fontId="0" fillId="0" borderId="1" xfId="0" applyBorder="1" applyAlignment="1">
      <alignment horizontal="left" vertical="center" indent="1"/>
    </xf>
    <xf numFmtId="0" fontId="9" fillId="3" borderId="1" xfId="0" applyFont="1" applyFill="1" applyBorder="1" applyAlignment="1">
      <alignment horizontal="center" vertical="center"/>
    </xf>
    <xf numFmtId="0" fontId="10" fillId="3" borderId="1" xfId="0" applyFont="1" applyFill="1" applyBorder="1">
      <alignment vertical="center"/>
    </xf>
    <xf numFmtId="0" fontId="10" fillId="3" borderId="1" xfId="0" applyFont="1" applyFill="1" applyBorder="1" applyAlignment="1">
      <alignment horizontal="center" vertical="center"/>
    </xf>
    <xf numFmtId="176" fontId="0" fillId="0" borderId="1" xfId="0" applyNumberFormat="1" applyBorder="1" applyAlignment="1">
      <alignment horizontal="center" vertical="center"/>
    </xf>
    <xf numFmtId="0" fontId="10" fillId="3" borderId="4" xfId="0" applyFont="1" applyFill="1" applyBorder="1" applyAlignment="1">
      <alignment horizontal="center" vertical="center"/>
    </xf>
    <xf numFmtId="0" fontId="10" fillId="3" borderId="5" xfId="0" applyFont="1" applyFill="1" applyBorder="1" applyAlignment="1">
      <alignment horizontal="center" vertical="center"/>
    </xf>
    <xf numFmtId="0" fontId="9" fillId="3" borderId="4" xfId="0" applyFont="1" applyFill="1" applyBorder="1" applyAlignment="1">
      <alignment horizontal="center" vertical="center"/>
    </xf>
    <xf numFmtId="0" fontId="9" fillId="3" borderId="5" xfId="0" applyFont="1" applyFill="1" applyBorder="1" applyAlignment="1">
      <alignment horizontal="center" vertical="center"/>
    </xf>
    <xf numFmtId="0" fontId="3" fillId="4" borderId="3" xfId="0" applyFont="1" applyFill="1" applyBorder="1" applyAlignment="1">
      <alignment horizontal="left" vertical="center" indent="1"/>
    </xf>
    <xf numFmtId="0" fontId="0" fillId="4" borderId="3" xfId="0" applyFill="1" applyBorder="1" applyAlignment="1">
      <alignment horizontal="left" vertical="center" indent="1"/>
    </xf>
    <xf numFmtId="0" fontId="2" fillId="4" borderId="3" xfId="0" applyFont="1" applyFill="1" applyBorder="1" applyAlignment="1">
      <alignment horizontal="left" vertical="center" indent="1"/>
    </xf>
    <xf numFmtId="0" fontId="5" fillId="4" borderId="3" xfId="0" applyFont="1" applyFill="1" applyBorder="1" applyAlignment="1">
      <alignment horizontal="left" vertical="center" indent="1"/>
    </xf>
    <xf numFmtId="0" fontId="2" fillId="4" borderId="0" xfId="0" applyFont="1" applyFill="1" applyAlignment="1">
      <alignment horizontal="left" vertical="center" indent="1"/>
    </xf>
    <xf numFmtId="0" fontId="0" fillId="4" borderId="0" xfId="0" applyFill="1" applyAlignment="1">
      <alignment horizontal="left" vertical="center" indent="1"/>
    </xf>
  </cellXfs>
  <cellStyles count="1">
    <cellStyle name="常规" xfId="0" builtinId="0"/>
  </cellStyles>
  <dxfs count="0"/>
  <tableStyles count="0" defaultTableStyle="TableStyleMedium2" defaultPivotStyle="PivotStyleLight16"/>
  <colors>
    <mruColors>
      <color rgb="FF7F8C8D"/>
      <color rgb="FF2C3E50"/>
      <color rgb="FFB71C1C"/>
      <color rgb="FF8E24AA"/>
      <color rgb="FFF5F5F2"/>
      <color rgb="FFD7CCC8"/>
      <color rgb="FF34495E"/>
      <color rgb="FFBDC3C7"/>
      <color rgb="FFF2F2F2"/>
      <color rgb="FFBAE8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942757355334623"/>
          <c:y val="0.16608113448784073"/>
          <c:w val="0.70320932548324189"/>
          <c:h val="0.73539956175661314"/>
        </c:manualLayout>
      </c:layout>
      <c:barChart>
        <c:barDir val="bar"/>
        <c:grouping val="stacked"/>
        <c:varyColors val="0"/>
        <c:ser>
          <c:idx val="0"/>
          <c:order val="0"/>
          <c:tx>
            <c:strRef>
              <c:f>'飓风图(两组）'!$B$2</c:f>
              <c:strCache>
                <c:ptCount val="1"/>
                <c:pt idx="0">
                  <c:v>Against</c:v>
                </c:pt>
              </c:strCache>
            </c:strRef>
          </c:tx>
          <c:spPr>
            <a:solidFill>
              <a:srgbClr val="2C3E50"/>
            </a:solidFill>
            <a:ln>
              <a:noFill/>
            </a:ln>
            <a:effectLst/>
          </c:spPr>
          <c:invertIfNegative val="0"/>
          <c:dLbls>
            <c:delete val="1"/>
          </c:dLbls>
          <c:cat>
            <c:strRef>
              <c:f>'飓风图(两组）'!$A$3:$A$6</c:f>
              <c:strCache>
                <c:ptCount val="4"/>
                <c:pt idx="0">
                  <c:v> Conservative
（Government）</c:v>
                </c:pt>
                <c:pt idx="1">
                  <c:v>Labour</c:v>
                </c:pt>
                <c:pt idx="2">
                  <c:v>DUP</c:v>
                </c:pt>
                <c:pt idx="3">
                  <c:v>Other</c:v>
                </c:pt>
              </c:strCache>
            </c:strRef>
          </c:cat>
          <c:val>
            <c:numRef>
              <c:f>'飓风图(两组）'!$B$3:$B$6</c:f>
              <c:numCache>
                <c:formatCode>General</c:formatCode>
                <c:ptCount val="4"/>
                <c:pt idx="0">
                  <c:v>-120</c:v>
                </c:pt>
                <c:pt idx="1">
                  <c:v>-260</c:v>
                </c:pt>
                <c:pt idx="2">
                  <c:v>-10</c:v>
                </c:pt>
                <c:pt idx="3">
                  <c:v>-60</c:v>
                </c:pt>
              </c:numCache>
            </c:numRef>
          </c:val>
          <c:extLst>
            <c:ext xmlns:c16="http://schemas.microsoft.com/office/drawing/2014/chart" uri="{C3380CC4-5D6E-409C-BE32-E72D297353CC}">
              <c16:uniqueId val="{00000000-8B20-43D8-8F6E-C4056A2657D5}"/>
            </c:ext>
          </c:extLst>
        </c:ser>
        <c:ser>
          <c:idx val="2"/>
          <c:order val="1"/>
          <c:tx>
            <c:strRef>
              <c:f>'飓风图(两组）'!$E$2</c:f>
              <c:strCache>
                <c:ptCount val="1"/>
                <c:pt idx="0">
                  <c:v>Aux1</c:v>
                </c:pt>
              </c:strCache>
            </c:strRef>
          </c:tx>
          <c:spPr>
            <a:noFill/>
            <a:ln>
              <a:noFill/>
            </a:ln>
            <a:effectLst/>
          </c:spPr>
          <c:invertIfNegative val="0"/>
          <c:dLbls>
            <c:dLbl>
              <c:idx val="0"/>
              <c:tx>
                <c:rich>
                  <a:bodyPr/>
                  <a:lstStyle/>
                  <a:p>
                    <a:fld id="{0DB16AAF-0863-497C-869C-DBAE8118CF35}" type="CELLRANGE">
                      <a:rPr lang="en-US" altLang="zh-CN"/>
                      <a:pPr/>
                      <a:t>[CELLRANGE]</a:t>
                    </a:fld>
                    <a:endParaRPr lang="zh-CN" altLang="en-US"/>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8B20-43D8-8F6E-C4056A2657D5}"/>
                </c:ext>
              </c:extLst>
            </c:dLbl>
            <c:dLbl>
              <c:idx val="1"/>
              <c:tx>
                <c:rich>
                  <a:bodyPr/>
                  <a:lstStyle/>
                  <a:p>
                    <a:fld id="{A58D4AAB-D212-4B6B-B54C-7014EDEDC3BF}" type="CELLRANGE">
                      <a:rPr lang="zh-CN" altLang="en-US"/>
                      <a:pPr/>
                      <a:t>[CELLRANGE]</a:t>
                    </a:fld>
                    <a:endParaRPr lang="zh-CN" alt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B20-43D8-8F6E-C4056A2657D5}"/>
                </c:ext>
              </c:extLst>
            </c:dLbl>
            <c:dLbl>
              <c:idx val="2"/>
              <c:tx>
                <c:rich>
                  <a:bodyPr/>
                  <a:lstStyle/>
                  <a:p>
                    <a:fld id="{9427EF84-2C6F-4FA1-AE20-4A3FA9D703A5}" type="CELLRANGE">
                      <a:rPr lang="zh-CN" altLang="en-US"/>
                      <a:pPr/>
                      <a:t>[CELLRANGE]</a:t>
                    </a:fld>
                    <a:endParaRPr lang="zh-CN" alt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B20-43D8-8F6E-C4056A2657D5}"/>
                </c:ext>
              </c:extLst>
            </c:dLbl>
            <c:dLbl>
              <c:idx val="3"/>
              <c:tx>
                <c:rich>
                  <a:bodyPr/>
                  <a:lstStyle/>
                  <a:p>
                    <a:fld id="{B9BFEDD7-944F-4FF0-8E0F-0C7700A7EE8E}" type="CELLRANGE">
                      <a:rPr lang="zh-CN" altLang="en-US"/>
                      <a:pPr/>
                      <a:t>[CELLRANGE]</a:t>
                    </a:fld>
                    <a:endParaRPr lang="zh-CN" alt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B20-43D8-8F6E-C4056A2657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zh-CN"/>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'飓风图(两组）'!$A$3:$A$6</c:f>
              <c:strCache>
                <c:ptCount val="4"/>
                <c:pt idx="0">
                  <c:v> Conservative
（Government）</c:v>
                </c:pt>
                <c:pt idx="1">
                  <c:v>Labour</c:v>
                </c:pt>
                <c:pt idx="2">
                  <c:v>DUP</c:v>
                </c:pt>
                <c:pt idx="3">
                  <c:v>Other</c:v>
                </c:pt>
              </c:strCache>
            </c:strRef>
          </c:cat>
          <c:val>
            <c:numRef>
              <c:f>'飓风图(两组）'!$E$3:$E$6</c:f>
              <c:numCache>
                <c:formatCode>General</c:formatCode>
                <c:ptCount val="4"/>
                <c:pt idx="0">
                  <c:v>-380</c:v>
                </c:pt>
                <c:pt idx="1">
                  <c:v>-240</c:v>
                </c:pt>
                <c:pt idx="2">
                  <c:v>-490</c:v>
                </c:pt>
                <c:pt idx="3">
                  <c:v>-440</c:v>
                </c:pt>
              </c:numCache>
            </c:numRef>
          </c:val>
          <c:extLst>
            <c:ext xmlns:c15="http://schemas.microsoft.com/office/drawing/2012/chart" uri="{02D57815-91ED-43cb-92C2-25804820EDAC}">
              <c15:datalabelsRange>
                <c15:f>'飓风图(两组）'!$G$11:$G$14</c15:f>
                <c15:dlblRangeCache>
                  <c:ptCount val="4"/>
                  <c:pt idx="0">
                    <c:v> Conservative
</c:v>
                  </c:pt>
                  <c:pt idx="1">
                    <c:v>Labour</c:v>
                  </c:pt>
                  <c:pt idx="2">
                    <c:v>DUP</c:v>
                  </c:pt>
                  <c:pt idx="3">
                    <c:v>Other</c:v>
                  </c:pt>
                </c15:dlblRangeCache>
              </c15:datalabelsRange>
            </c:ext>
            <c:ext xmlns:c16="http://schemas.microsoft.com/office/drawing/2014/chart" uri="{C3380CC4-5D6E-409C-BE32-E72D297353CC}">
              <c16:uniqueId val="{00000002-8B20-43D8-8F6E-C4056A2657D5}"/>
            </c:ext>
          </c:extLst>
        </c:ser>
        <c:ser>
          <c:idx val="1"/>
          <c:order val="2"/>
          <c:tx>
            <c:strRef>
              <c:f>'飓风图(两组）'!$C$2</c:f>
              <c:strCache>
                <c:ptCount val="1"/>
                <c:pt idx="0">
                  <c:v>For</c:v>
                </c:pt>
              </c:strCache>
            </c:strRef>
          </c:tx>
          <c:spPr>
            <a:solidFill>
              <a:srgbClr val="7F8C8D"/>
            </a:solidFill>
            <a:ln>
              <a:noFill/>
            </a:ln>
            <a:effectLst/>
          </c:spPr>
          <c:invertIfNegative val="0"/>
          <c:dLbls>
            <c:dLbl>
              <c:idx val="0"/>
              <c:tx>
                <c:rich>
                  <a:bodyPr/>
                  <a:lstStyle/>
                  <a:p>
                    <a:fld id="{8B5B81D8-CF0F-4204-9F6D-C63B71E51A50}" type="CELLRANGE">
                      <a:rPr lang="en-US" altLang="zh-CN"/>
                      <a:pPr/>
                      <a:t>[CELLRANGE]</a:t>
                    </a:fld>
                    <a:endParaRPr lang="zh-CN" altLang="en-US"/>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8B20-43D8-8F6E-C4056A2657D5}"/>
                </c:ext>
              </c:extLst>
            </c:dLbl>
            <c:dLbl>
              <c:idx val="1"/>
              <c:layout>
                <c:manualLayout>
                  <c:x val="0.20991175170817084"/>
                  <c:y val="0"/>
                </c:manualLayout>
              </c:layout>
              <c:tx>
                <c:rich>
                  <a:bodyPr/>
                  <a:lstStyle/>
                  <a:p>
                    <a:fld id="{8AF334D0-C2F4-4651-B14E-FE6FFF264C6A}" type="CELLRANGE">
                      <a:rPr lang="en-US" altLang="zh-CN"/>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8B20-43D8-8F6E-C4056A2657D5}"/>
                </c:ext>
              </c:extLst>
            </c:dLbl>
            <c:dLbl>
              <c:idx val="2"/>
              <c:tx>
                <c:rich>
                  <a:bodyPr/>
                  <a:lstStyle/>
                  <a:p>
                    <a:fld id="{CBA1C3FA-92CF-4081-A422-79BD5FA6B841}" type="CELLRANGE">
                      <a:rPr lang="en-US" altLang="zh-CN"/>
                      <a:pPr/>
                      <a:t>[CELLRANGE]</a:t>
                    </a:fld>
                    <a:endParaRPr lang="zh-CN" altLang="en-US"/>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8B20-43D8-8F6E-C4056A2657D5}"/>
                </c:ext>
              </c:extLst>
            </c:dLbl>
            <c:dLbl>
              <c:idx val="3"/>
              <c:layout>
                <c:manualLayout>
                  <c:x val="0.21459247773937895"/>
                  <c:y val="2.7656404573373688E-7"/>
                </c:manualLayout>
              </c:layout>
              <c:tx>
                <c:rich>
                  <a:bodyPr/>
                  <a:lstStyle/>
                  <a:p>
                    <a:fld id="{8EFC0A96-C2E9-46B4-BFD2-10D1D4721F27}" type="CELLRANGE">
                      <a:rPr lang="en-US" altLang="zh-CN"/>
                      <a:pPr/>
                      <a:t>[CELLRANGE]</a:t>
                    </a:fld>
                    <a:endParaRPr lang="zh-CN" alt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8B20-43D8-8F6E-C4056A2657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zh-CN"/>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'飓风图(两组）'!$A$3:$A$6</c:f>
              <c:strCache>
                <c:ptCount val="4"/>
                <c:pt idx="0">
                  <c:v> Conservative
（Government）</c:v>
                </c:pt>
                <c:pt idx="1">
                  <c:v>Labour</c:v>
                </c:pt>
                <c:pt idx="2">
                  <c:v>DUP</c:v>
                </c:pt>
                <c:pt idx="3">
                  <c:v>Other</c:v>
                </c:pt>
              </c:strCache>
            </c:strRef>
          </c:cat>
          <c:val>
            <c:numRef>
              <c:f>'飓风图(两组）'!$C$3:$C$6</c:f>
              <c:numCache>
                <c:formatCode>General</c:formatCode>
                <c:ptCount val="4"/>
                <c:pt idx="0">
                  <c:v>195</c:v>
                </c:pt>
                <c:pt idx="1">
                  <c:v>3</c:v>
                </c:pt>
                <c:pt idx="2">
                  <c:v>0</c:v>
                </c:pt>
                <c:pt idx="3">
                  <c:v>3</c:v>
                </c:pt>
              </c:numCache>
            </c:numRef>
          </c:val>
          <c:extLst>
            <c:ext xmlns:c15="http://schemas.microsoft.com/office/drawing/2012/chart" uri="{02D57815-91ED-43cb-92C2-25804820EDAC}">
              <c15:datalabelsRange>
                <c15:f>'飓风图(两组）'!$F$11:$F$14</c15:f>
                <c15:dlblRangeCache>
                  <c:ptCount val="4"/>
                  <c:pt idx="1">
                    <c:v>3 Voted "For"</c:v>
                  </c:pt>
                  <c:pt idx="3">
                    <c:v>3 Voted "For"</c:v>
                  </c:pt>
                </c15:dlblRangeCache>
              </c15:datalabelsRange>
            </c:ext>
            <c:ext xmlns:c16="http://schemas.microsoft.com/office/drawing/2014/chart" uri="{C3380CC4-5D6E-409C-BE32-E72D297353CC}">
              <c16:uniqueId val="{00000001-8B20-43D8-8F6E-C4056A2657D5}"/>
            </c:ext>
          </c:extLst>
        </c:ser>
        <c:dLbls>
          <c:dLblPos val="inBase"/>
          <c:showLegendKey val="0"/>
          <c:showVal val="1"/>
          <c:showCatName val="0"/>
          <c:showSerName val="0"/>
          <c:showPercent val="0"/>
          <c:showBubbleSize val="0"/>
        </c:dLbls>
        <c:gapWidth val="150"/>
        <c:overlap val="100"/>
        <c:axId val="1995784496"/>
        <c:axId val="1995783056"/>
      </c:barChart>
      <c:catAx>
        <c:axId val="1995784496"/>
        <c:scaling>
          <c:orientation val="maxMin"/>
        </c:scaling>
        <c:delete val="0"/>
        <c:axPos val="l"/>
        <c:numFmt formatCode="General" sourceLinked="1"/>
        <c:majorTickMark val="none"/>
        <c:minorTickMark val="none"/>
        <c:tickLblPos val="none"/>
        <c:spPr>
          <a:solidFill>
            <a:srgbClr val="B71C1C"/>
          </a:solidFill>
          <a:ln w="25400" cap="flat" cmpd="sng" algn="ctr">
            <a:solidFill>
              <a:srgbClr val="B71C1C"/>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995783056"/>
        <c:crosses val="autoZero"/>
        <c:auto val="1"/>
        <c:lblAlgn val="ctr"/>
        <c:lblOffset val="100"/>
        <c:noMultiLvlLbl val="0"/>
      </c:catAx>
      <c:valAx>
        <c:axId val="1995783056"/>
        <c:scaling>
          <c:orientation val="minMax"/>
          <c:max val="300"/>
          <c:min val="-300"/>
        </c:scaling>
        <c:delete val="0"/>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zh-CN"/>
          </a:p>
        </c:txPr>
        <c:crossAx val="1995784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5F2"/>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6053103105827407"/>
          <c:y val="0.43880988192060927"/>
          <c:w val="0.401866631077895"/>
          <c:h val="0.46516990826563037"/>
        </c:manualLayout>
      </c:layout>
      <c:barChart>
        <c:barDir val="bar"/>
        <c:grouping val="stacked"/>
        <c:varyColors val="0"/>
        <c:ser>
          <c:idx val="0"/>
          <c:order val="0"/>
          <c:tx>
            <c:strRef>
              <c:f>'对比条形图(两组）'!$D$3</c:f>
              <c:strCache>
                <c:ptCount val="1"/>
                <c:pt idx="0">
                  <c:v>Goods</c:v>
                </c:pt>
              </c:strCache>
            </c:strRef>
          </c:tx>
          <c:spPr>
            <a:solidFill>
              <a:srgbClr val="7F8C8D"/>
            </a:solidFill>
            <a:ln>
              <a:noFill/>
            </a:ln>
            <a:effectLst/>
          </c:spPr>
          <c:invertIfNegative val="0"/>
          <c:dLbls>
            <c:delete val="1"/>
          </c:dLbls>
          <c:cat>
            <c:strRef>
              <c:f>'对比条形图(两组）'!$A$4:$A$9</c:f>
              <c:strCache>
                <c:ptCount val="6"/>
                <c:pt idx="0">
                  <c:v>Ireland</c:v>
                </c:pt>
                <c:pt idx="1">
                  <c:v>Netherlands</c:v>
                </c:pt>
                <c:pt idx="2">
                  <c:v>Belgium</c:v>
                </c:pt>
                <c:pt idx="3">
                  <c:v>Euro area </c:v>
                </c:pt>
                <c:pt idx="4">
                  <c:v>Germany</c:v>
                </c:pt>
                <c:pt idx="5">
                  <c:v>Spain</c:v>
                </c:pt>
              </c:strCache>
            </c:strRef>
          </c:cat>
          <c:val>
            <c:numRef>
              <c:f>'对比条形图(两组）'!$D$4:$D$9</c:f>
              <c:numCache>
                <c:formatCode>General</c:formatCode>
                <c:ptCount val="6"/>
                <c:pt idx="0">
                  <c:v>6</c:v>
                </c:pt>
                <c:pt idx="1">
                  <c:v>7</c:v>
                </c:pt>
                <c:pt idx="2">
                  <c:v>7.5</c:v>
                </c:pt>
                <c:pt idx="3">
                  <c:v>2.5</c:v>
                </c:pt>
                <c:pt idx="4">
                  <c:v>3</c:v>
                </c:pt>
                <c:pt idx="5">
                  <c:v>1.5</c:v>
                </c:pt>
              </c:numCache>
            </c:numRef>
          </c:val>
          <c:extLst>
            <c:ext xmlns:c16="http://schemas.microsoft.com/office/drawing/2014/chart" uri="{C3380CC4-5D6E-409C-BE32-E72D297353CC}">
              <c16:uniqueId val="{00000000-AF61-4411-841B-C8A14D8AAE22}"/>
            </c:ext>
          </c:extLst>
        </c:ser>
        <c:ser>
          <c:idx val="1"/>
          <c:order val="1"/>
          <c:tx>
            <c:strRef>
              <c:f>'对比条形图(两组）'!$E$3</c:f>
              <c:strCache>
                <c:ptCount val="1"/>
                <c:pt idx="0">
                  <c:v>Services</c:v>
                </c:pt>
              </c:strCache>
            </c:strRef>
          </c:tx>
          <c:spPr>
            <a:solidFill>
              <a:srgbClr val="2C3E50"/>
            </a:solidFill>
            <a:ln>
              <a:noFill/>
            </a:ln>
            <a:effectLst/>
          </c:spPr>
          <c:invertIfNegative val="0"/>
          <c:dLbls>
            <c:delete val="1"/>
          </c:dLbls>
          <c:cat>
            <c:strRef>
              <c:f>'对比条形图(两组）'!$A$4:$A$9</c:f>
              <c:strCache>
                <c:ptCount val="6"/>
                <c:pt idx="0">
                  <c:v>Ireland</c:v>
                </c:pt>
                <c:pt idx="1">
                  <c:v>Netherlands</c:v>
                </c:pt>
                <c:pt idx="2">
                  <c:v>Belgium</c:v>
                </c:pt>
                <c:pt idx="3">
                  <c:v>Euro area </c:v>
                </c:pt>
                <c:pt idx="4">
                  <c:v>Germany</c:v>
                </c:pt>
                <c:pt idx="5">
                  <c:v>Spain</c:v>
                </c:pt>
              </c:strCache>
            </c:strRef>
          </c:cat>
          <c:val>
            <c:numRef>
              <c:f>'对比条形图(两组）'!$E$4:$E$9</c:f>
              <c:numCache>
                <c:formatCode>General</c:formatCode>
                <c:ptCount val="6"/>
                <c:pt idx="0">
                  <c:v>9</c:v>
                </c:pt>
                <c:pt idx="1">
                  <c:v>2.8</c:v>
                </c:pt>
                <c:pt idx="2">
                  <c:v>2.2999999999999998</c:v>
                </c:pt>
                <c:pt idx="3">
                  <c:v>1.6</c:v>
                </c:pt>
                <c:pt idx="4">
                  <c:v>0.5</c:v>
                </c:pt>
                <c:pt idx="5">
                  <c:v>1.5</c:v>
                </c:pt>
              </c:numCache>
            </c:numRef>
          </c:val>
          <c:extLst>
            <c:ext xmlns:c16="http://schemas.microsoft.com/office/drawing/2014/chart" uri="{C3380CC4-5D6E-409C-BE32-E72D297353CC}">
              <c16:uniqueId val="{00000001-AF61-4411-841B-C8A14D8AAE22}"/>
            </c:ext>
          </c:extLst>
        </c:ser>
        <c:ser>
          <c:idx val="2"/>
          <c:order val="2"/>
          <c:tx>
            <c:strRef>
              <c:f>'对比条形图(两组）'!$F$3</c:f>
              <c:strCache>
                <c:ptCount val="1"/>
                <c:pt idx="0">
                  <c:v>Aux</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inBase"/>
              <c:showLegendKey val="0"/>
              <c:showVal val="0"/>
              <c:showCatName val="1"/>
              <c:showSerName val="0"/>
              <c:showPercent val="0"/>
              <c:showBubbleSize val="0"/>
              <c:extLst>
                <c:ext xmlns:c15="http://schemas.microsoft.com/office/drawing/2012/chart" uri="{CE6537A1-D6FC-4f65-9D91-7224C49458BB}">
                  <c15:layout>
                    <c:manualLayout>
                      <c:w val="0.40037368210329644"/>
                      <c:h val="8.5833328366126838E-2"/>
                    </c:manualLayout>
                  </c15:layout>
                </c:ext>
                <c:ext xmlns:c16="http://schemas.microsoft.com/office/drawing/2014/chart" uri="{C3380CC4-5D6E-409C-BE32-E72D297353CC}">
                  <c16:uniqueId val="{00000003-AF61-4411-841B-C8A14D8AAE22}"/>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inBase"/>
              <c:showLegendKey val="0"/>
              <c:showVal val="0"/>
              <c:showCatName val="1"/>
              <c:showSerName val="0"/>
              <c:showPercent val="0"/>
              <c:showBubbleSize val="0"/>
              <c:extLst>
                <c:ext xmlns:c15="http://schemas.microsoft.com/office/drawing/2012/chart" uri="{CE6537A1-D6FC-4f65-9D91-7224C49458BB}">
                  <c15:layout>
                    <c:manualLayout>
                      <c:w val="0.40037368210329644"/>
                      <c:h val="8.5833328366126838E-2"/>
                    </c:manualLayout>
                  </c15:layout>
                </c:ext>
                <c:ext xmlns:c16="http://schemas.microsoft.com/office/drawing/2014/chart" uri="{C3380CC4-5D6E-409C-BE32-E72D297353CC}">
                  <c16:uniqueId val="{00000004-AF61-4411-841B-C8A14D8AAE22}"/>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inBase"/>
              <c:showLegendKey val="0"/>
              <c:showVal val="0"/>
              <c:showCatName val="1"/>
              <c:showSerName val="0"/>
              <c:showPercent val="0"/>
              <c:showBubbleSize val="0"/>
              <c:extLst>
                <c:ext xmlns:c15="http://schemas.microsoft.com/office/drawing/2012/chart" uri="{CE6537A1-D6FC-4f65-9D91-7224C49458BB}">
                  <c15:layout>
                    <c:manualLayout>
                      <c:w val="0.40037368210329644"/>
                      <c:h val="8.5833328366126838E-2"/>
                    </c:manualLayout>
                  </c15:layout>
                </c:ext>
                <c:ext xmlns:c16="http://schemas.microsoft.com/office/drawing/2014/chart" uri="{C3380CC4-5D6E-409C-BE32-E72D297353CC}">
                  <c16:uniqueId val="{00000005-AF61-4411-841B-C8A14D8AAE22}"/>
                </c:ext>
              </c:extLst>
            </c:dLbl>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inBase"/>
              <c:showLegendKey val="0"/>
              <c:showVal val="0"/>
              <c:showCatName val="1"/>
              <c:showSerName val="0"/>
              <c:showPercent val="0"/>
              <c:showBubbleSize val="0"/>
              <c:extLst>
                <c:ext xmlns:c15="http://schemas.microsoft.com/office/drawing/2012/chart" uri="{CE6537A1-D6FC-4f65-9D91-7224C49458BB}">
                  <c15:layout>
                    <c:manualLayout>
                      <c:w val="0.40037368210329644"/>
                      <c:h val="8.5833328366126838E-2"/>
                    </c:manualLayout>
                  </c15:layout>
                </c:ext>
                <c:ext xmlns:c16="http://schemas.microsoft.com/office/drawing/2014/chart" uri="{C3380CC4-5D6E-409C-BE32-E72D297353CC}">
                  <c16:uniqueId val="{00000006-AF61-4411-841B-C8A14D8AAE22}"/>
                </c:ext>
              </c:extLst>
            </c:dLbl>
            <c:dLbl>
              <c:idx val="4"/>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inBase"/>
              <c:showLegendKey val="0"/>
              <c:showVal val="0"/>
              <c:showCatName val="1"/>
              <c:showSerName val="0"/>
              <c:showPercent val="0"/>
              <c:showBubbleSize val="0"/>
              <c:extLst>
                <c:ext xmlns:c15="http://schemas.microsoft.com/office/drawing/2012/chart" uri="{CE6537A1-D6FC-4f65-9D91-7224C49458BB}">
                  <c15:layout>
                    <c:manualLayout>
                      <c:w val="0.40037368210329644"/>
                      <c:h val="8.5833328366126838E-2"/>
                    </c:manualLayout>
                  </c15:layout>
                </c:ext>
                <c:ext xmlns:c16="http://schemas.microsoft.com/office/drawing/2014/chart" uri="{C3380CC4-5D6E-409C-BE32-E72D297353CC}">
                  <c16:uniqueId val="{00000007-AF61-4411-841B-C8A14D8AAE22}"/>
                </c:ext>
              </c:extLst>
            </c:dLbl>
            <c:dLbl>
              <c:idx val="5"/>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inBase"/>
              <c:showLegendKey val="0"/>
              <c:showVal val="0"/>
              <c:showCatName val="1"/>
              <c:showSerName val="0"/>
              <c:showPercent val="0"/>
              <c:showBubbleSize val="0"/>
              <c:extLst>
                <c:ext xmlns:c15="http://schemas.microsoft.com/office/drawing/2012/chart" uri="{CE6537A1-D6FC-4f65-9D91-7224C49458BB}">
                  <c15:layout>
                    <c:manualLayout>
                      <c:w val="0.40037368210329644"/>
                      <c:h val="8.5833328366126838E-2"/>
                    </c:manualLayout>
                  </c15:layout>
                </c:ext>
                <c:ext xmlns:c16="http://schemas.microsoft.com/office/drawing/2014/chart" uri="{C3380CC4-5D6E-409C-BE32-E72D297353CC}">
                  <c16:uniqueId val="{00000008-AF61-4411-841B-C8A14D8AAE2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'对比条形图(两组）'!$A$4:$A$9</c:f>
              <c:strCache>
                <c:ptCount val="6"/>
                <c:pt idx="0">
                  <c:v>Ireland</c:v>
                </c:pt>
                <c:pt idx="1">
                  <c:v>Netherlands</c:v>
                </c:pt>
                <c:pt idx="2">
                  <c:v>Belgium</c:v>
                </c:pt>
                <c:pt idx="3">
                  <c:v>Euro area </c:v>
                </c:pt>
                <c:pt idx="4">
                  <c:v>Germany</c:v>
                </c:pt>
                <c:pt idx="5">
                  <c:v>Spain</c:v>
                </c:pt>
              </c:strCache>
            </c:strRef>
          </c:cat>
          <c:val>
            <c:numRef>
              <c:f>'对比条形图(两组）'!$F$4:$F$9</c:f>
              <c:numCache>
                <c:formatCode>General</c:formatCode>
                <c:ptCount val="6"/>
                <c:pt idx="0">
                  <c:v>-10</c:v>
                </c:pt>
                <c:pt idx="1">
                  <c:v>-10</c:v>
                </c:pt>
                <c:pt idx="2">
                  <c:v>-10</c:v>
                </c:pt>
                <c:pt idx="3">
                  <c:v>-10</c:v>
                </c:pt>
                <c:pt idx="4">
                  <c:v>-10</c:v>
                </c:pt>
                <c:pt idx="5">
                  <c:v>-10</c:v>
                </c:pt>
              </c:numCache>
            </c:numRef>
          </c:val>
          <c:extLst>
            <c:ext xmlns:c16="http://schemas.microsoft.com/office/drawing/2014/chart" uri="{C3380CC4-5D6E-409C-BE32-E72D297353CC}">
              <c16:uniqueId val="{00000002-AF61-4411-841B-C8A14D8AAE22}"/>
            </c:ext>
          </c:extLst>
        </c:ser>
        <c:dLbls>
          <c:dLblPos val="inBase"/>
          <c:showLegendKey val="0"/>
          <c:showVal val="1"/>
          <c:showCatName val="0"/>
          <c:showSerName val="0"/>
          <c:showPercent val="0"/>
          <c:showBubbleSize val="0"/>
        </c:dLbls>
        <c:gapWidth val="69"/>
        <c:overlap val="100"/>
        <c:axId val="661627296"/>
        <c:axId val="661623936"/>
      </c:barChart>
      <c:catAx>
        <c:axId val="661627296"/>
        <c:scaling>
          <c:orientation val="maxMin"/>
        </c:scaling>
        <c:delete val="0"/>
        <c:axPos val="l"/>
        <c:numFmt formatCode="General" sourceLinked="1"/>
        <c:majorTickMark val="none"/>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61623936"/>
        <c:crosses val="autoZero"/>
        <c:auto val="1"/>
        <c:lblAlgn val="ctr"/>
        <c:lblOffset val="100"/>
        <c:noMultiLvlLbl val="0"/>
      </c:catAx>
      <c:valAx>
        <c:axId val="661623936"/>
        <c:scaling>
          <c:orientation val="minMax"/>
          <c:max val="15"/>
          <c:min val="0"/>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61627296"/>
        <c:crosses val="autoZero"/>
        <c:crossBetween val="between"/>
      </c:valAx>
      <c:spPr>
        <a:noFill/>
        <a:ln>
          <a:noFill/>
        </a:ln>
        <a:effectLst/>
      </c:spPr>
    </c:plotArea>
    <c:legend>
      <c:legendPos val="r"/>
      <c:legendEntry>
        <c:idx val="2"/>
        <c:delete val="1"/>
      </c:legendEntry>
      <c:layout>
        <c:manualLayout>
          <c:xMode val="edge"/>
          <c:yMode val="edge"/>
          <c:x val="0.34147826860625474"/>
          <c:y val="0.27195241018793925"/>
          <c:w val="0.2715160816762312"/>
          <c:h val="8.402796735949262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no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8038472094673921"/>
          <c:y val="9.6413475177304975E-2"/>
          <c:w val="0.39628360905585452"/>
          <c:h val="0.45277577950021003"/>
        </c:manualLayout>
      </c:layout>
      <c:barChart>
        <c:barDir val="bar"/>
        <c:grouping val="stacked"/>
        <c:varyColors val="0"/>
        <c:ser>
          <c:idx val="0"/>
          <c:order val="0"/>
          <c:tx>
            <c:strRef>
              <c:f>'对比条形图(两组）'!$D$3</c:f>
              <c:strCache>
                <c:ptCount val="1"/>
                <c:pt idx="0">
                  <c:v>Goods</c:v>
                </c:pt>
              </c:strCache>
            </c:strRef>
          </c:tx>
          <c:spPr>
            <a:solidFill>
              <a:srgbClr val="7F8C8D"/>
            </a:solidFill>
            <a:ln>
              <a:noFill/>
            </a:ln>
            <a:effectLst/>
          </c:spPr>
          <c:invertIfNegative val="0"/>
          <c:dLbls>
            <c:delete val="1"/>
          </c:dLbls>
          <c:cat>
            <c:strRef>
              <c:f>'对比条形图(两组）'!$A$4:$A$9</c:f>
              <c:strCache>
                <c:ptCount val="6"/>
                <c:pt idx="0">
                  <c:v>Ireland</c:v>
                </c:pt>
                <c:pt idx="1">
                  <c:v>Netherlands</c:v>
                </c:pt>
                <c:pt idx="2">
                  <c:v>Belgium</c:v>
                </c:pt>
                <c:pt idx="3">
                  <c:v>Euro area </c:v>
                </c:pt>
                <c:pt idx="4">
                  <c:v>Germany</c:v>
                </c:pt>
                <c:pt idx="5">
                  <c:v>Spain</c:v>
                </c:pt>
              </c:strCache>
            </c:strRef>
          </c:cat>
          <c:val>
            <c:numRef>
              <c:f>'对比条形图(两组）'!$D$4:$D$9</c:f>
              <c:numCache>
                <c:formatCode>General</c:formatCode>
                <c:ptCount val="6"/>
                <c:pt idx="0">
                  <c:v>6</c:v>
                </c:pt>
                <c:pt idx="1">
                  <c:v>7</c:v>
                </c:pt>
                <c:pt idx="2">
                  <c:v>7.5</c:v>
                </c:pt>
                <c:pt idx="3">
                  <c:v>2.5</c:v>
                </c:pt>
                <c:pt idx="4">
                  <c:v>3</c:v>
                </c:pt>
                <c:pt idx="5">
                  <c:v>1.5</c:v>
                </c:pt>
              </c:numCache>
            </c:numRef>
          </c:val>
          <c:extLst>
            <c:ext xmlns:c16="http://schemas.microsoft.com/office/drawing/2014/chart" uri="{C3380CC4-5D6E-409C-BE32-E72D297353CC}">
              <c16:uniqueId val="{00000000-A572-42E9-BF6A-76C0C4F7B149}"/>
            </c:ext>
          </c:extLst>
        </c:ser>
        <c:ser>
          <c:idx val="1"/>
          <c:order val="1"/>
          <c:tx>
            <c:strRef>
              <c:f>'对比条形图(两组）'!$E$3</c:f>
              <c:strCache>
                <c:ptCount val="1"/>
                <c:pt idx="0">
                  <c:v>Services</c:v>
                </c:pt>
              </c:strCache>
            </c:strRef>
          </c:tx>
          <c:spPr>
            <a:solidFill>
              <a:srgbClr val="2C3E50"/>
            </a:solidFill>
            <a:ln>
              <a:noFill/>
            </a:ln>
            <a:effectLst/>
          </c:spPr>
          <c:invertIfNegative val="0"/>
          <c:dLbls>
            <c:delete val="1"/>
          </c:dLbls>
          <c:cat>
            <c:strRef>
              <c:f>'对比条形图(两组）'!$A$4:$A$9</c:f>
              <c:strCache>
                <c:ptCount val="6"/>
                <c:pt idx="0">
                  <c:v>Ireland</c:v>
                </c:pt>
                <c:pt idx="1">
                  <c:v>Netherlands</c:v>
                </c:pt>
                <c:pt idx="2">
                  <c:v>Belgium</c:v>
                </c:pt>
                <c:pt idx="3">
                  <c:v>Euro area </c:v>
                </c:pt>
                <c:pt idx="4">
                  <c:v>Germany</c:v>
                </c:pt>
                <c:pt idx="5">
                  <c:v>Spain</c:v>
                </c:pt>
              </c:strCache>
            </c:strRef>
          </c:cat>
          <c:val>
            <c:numRef>
              <c:f>'对比条形图(两组）'!$E$4:$E$9</c:f>
              <c:numCache>
                <c:formatCode>General</c:formatCode>
                <c:ptCount val="6"/>
                <c:pt idx="0">
                  <c:v>9</c:v>
                </c:pt>
                <c:pt idx="1">
                  <c:v>2.8</c:v>
                </c:pt>
                <c:pt idx="2">
                  <c:v>2.2999999999999998</c:v>
                </c:pt>
                <c:pt idx="3">
                  <c:v>1.6</c:v>
                </c:pt>
                <c:pt idx="4">
                  <c:v>0.5</c:v>
                </c:pt>
                <c:pt idx="5">
                  <c:v>1.5</c:v>
                </c:pt>
              </c:numCache>
            </c:numRef>
          </c:val>
          <c:extLst>
            <c:ext xmlns:c16="http://schemas.microsoft.com/office/drawing/2014/chart" uri="{C3380CC4-5D6E-409C-BE32-E72D297353CC}">
              <c16:uniqueId val="{00000001-A572-42E9-BF6A-76C0C4F7B149}"/>
            </c:ext>
          </c:extLst>
        </c:ser>
        <c:ser>
          <c:idx val="2"/>
          <c:order val="2"/>
          <c:tx>
            <c:strRef>
              <c:f>'对比条形图(两组）'!$F$3</c:f>
              <c:strCache>
                <c:ptCount val="1"/>
                <c:pt idx="0">
                  <c:v>Aux</c:v>
                </c:pt>
              </c:strCache>
            </c:strRef>
          </c:tx>
          <c:spPr>
            <a:solidFill>
              <a:schemeClr val="accent3"/>
            </a:solidFill>
            <a:ln>
              <a:noFill/>
            </a:ln>
            <a:effectLst/>
          </c:spPr>
          <c:invertIfNegative val="0"/>
          <c:dLbls>
            <c:delete val="1"/>
          </c:dLbls>
          <c:cat>
            <c:strRef>
              <c:f>'对比条形图(两组）'!$A$4:$A$9</c:f>
              <c:strCache>
                <c:ptCount val="6"/>
                <c:pt idx="0">
                  <c:v>Ireland</c:v>
                </c:pt>
                <c:pt idx="1">
                  <c:v>Netherlands</c:v>
                </c:pt>
                <c:pt idx="2">
                  <c:v>Belgium</c:v>
                </c:pt>
                <c:pt idx="3">
                  <c:v>Euro area </c:v>
                </c:pt>
                <c:pt idx="4">
                  <c:v>Germany</c:v>
                </c:pt>
                <c:pt idx="5">
                  <c:v>Spain</c:v>
                </c:pt>
              </c:strCache>
            </c:strRef>
          </c:cat>
          <c:val>
            <c:numRef>
              <c:f>'对比条形图(两组）'!$F$4:$F$9</c:f>
              <c:numCache>
                <c:formatCode>General</c:formatCode>
                <c:ptCount val="6"/>
                <c:pt idx="0">
                  <c:v>-10</c:v>
                </c:pt>
                <c:pt idx="1">
                  <c:v>-10</c:v>
                </c:pt>
                <c:pt idx="2">
                  <c:v>-10</c:v>
                </c:pt>
                <c:pt idx="3">
                  <c:v>-10</c:v>
                </c:pt>
                <c:pt idx="4">
                  <c:v>-10</c:v>
                </c:pt>
                <c:pt idx="5">
                  <c:v>-10</c:v>
                </c:pt>
              </c:numCache>
            </c:numRef>
          </c:val>
          <c:extLst>
            <c:ext xmlns:c16="http://schemas.microsoft.com/office/drawing/2014/chart" uri="{C3380CC4-5D6E-409C-BE32-E72D297353CC}">
              <c16:uniqueId val="{00000008-A572-42E9-BF6A-76C0C4F7B149}"/>
            </c:ext>
          </c:extLst>
        </c:ser>
        <c:dLbls>
          <c:dLblPos val="inBase"/>
          <c:showLegendKey val="0"/>
          <c:showVal val="1"/>
          <c:showCatName val="0"/>
          <c:showSerName val="0"/>
          <c:showPercent val="0"/>
          <c:showBubbleSize val="0"/>
        </c:dLbls>
        <c:gapWidth val="69"/>
        <c:overlap val="100"/>
        <c:axId val="661627296"/>
        <c:axId val="661623936"/>
      </c:barChart>
      <c:catAx>
        <c:axId val="661627296"/>
        <c:scaling>
          <c:orientation val="maxMin"/>
        </c:scaling>
        <c:delete val="1"/>
        <c:axPos val="r"/>
        <c:numFmt formatCode="General" sourceLinked="1"/>
        <c:majorTickMark val="out"/>
        <c:minorTickMark val="none"/>
        <c:tickLblPos val="nextTo"/>
        <c:crossAx val="661623936"/>
        <c:crosses val="autoZero"/>
        <c:auto val="1"/>
        <c:lblAlgn val="ctr"/>
        <c:lblOffset val="100"/>
        <c:noMultiLvlLbl val="0"/>
      </c:catAx>
      <c:valAx>
        <c:axId val="661623936"/>
        <c:scaling>
          <c:orientation val="maxMin"/>
          <c:max val="15"/>
          <c:min val="0"/>
        </c:scaling>
        <c:delete val="0"/>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6162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481967755553499E-2"/>
          <c:y val="5.4636560531405344E-2"/>
          <c:w val="0.8815445633563147"/>
          <c:h val="0.84116050428761335"/>
        </c:manualLayout>
      </c:layout>
      <c:scatterChart>
        <c:scatterStyle val="smoothMarker"/>
        <c:varyColors val="0"/>
        <c:ser>
          <c:idx val="0"/>
          <c:order val="0"/>
          <c:tx>
            <c:strRef>
              <c:f>'斜率图（两组）'!$B$5</c:f>
              <c:strCache>
                <c:ptCount val="1"/>
                <c:pt idx="0">
                  <c:v>Latin Americe</c:v>
                </c:pt>
              </c:strCache>
            </c:strRef>
          </c:tx>
          <c:spPr>
            <a:ln w="38100" cap="rnd">
              <a:solidFill>
                <a:srgbClr val="BDC3C7"/>
              </a:solidFill>
              <a:round/>
            </a:ln>
            <a:effectLst/>
          </c:spPr>
          <c:marker>
            <c:symbol val="circle"/>
            <c:size val="11"/>
            <c:spPr>
              <a:solidFill>
                <a:srgbClr val="34495E"/>
              </a:solidFill>
              <a:ln w="9525">
                <a:noFill/>
              </a:ln>
              <a:effectLst/>
            </c:spPr>
          </c:marker>
          <c:dPt>
            <c:idx val="1"/>
            <c:marker>
              <c:symbol val="circle"/>
              <c:size val="11"/>
              <c:spPr>
                <a:solidFill>
                  <a:srgbClr val="BDC3C7"/>
                </a:solidFill>
                <a:ln w="9525">
                  <a:noFill/>
                </a:ln>
                <a:effectLst/>
              </c:spPr>
            </c:marker>
            <c:bubble3D val="0"/>
            <c:spPr>
              <a:ln w="38100" cap="rnd">
                <a:solidFill>
                  <a:srgbClr val="BDC3C7"/>
                </a:solidFill>
                <a:round/>
              </a:ln>
              <a:effectLst/>
            </c:spPr>
            <c:extLst>
              <c:ext xmlns:c16="http://schemas.microsoft.com/office/drawing/2014/chart" uri="{C3380CC4-5D6E-409C-BE32-E72D297353CC}">
                <c16:uniqueId val="{00000015-A23C-40E8-93B1-8C9F2484368F}"/>
              </c:ext>
            </c:extLst>
          </c:dPt>
          <c:dLbls>
            <c:dLbl>
              <c:idx val="0"/>
              <c:delete val="1"/>
              <c:extLst>
                <c:ext xmlns:c15="http://schemas.microsoft.com/office/drawing/2012/chart" uri="{CE6537A1-D6FC-4f65-9D91-7224C49458BB}"/>
                <c:ext xmlns:c16="http://schemas.microsoft.com/office/drawing/2014/chart" uri="{C3380CC4-5D6E-409C-BE32-E72D297353CC}">
                  <c16:uniqueId val="{00000014-A23C-40E8-93B1-8C9F2484368F}"/>
                </c:ext>
              </c:extLst>
            </c:dLbl>
            <c:dLbl>
              <c:idx val="1"/>
              <c:layout>
                <c:manualLayout>
                  <c:x val="-0.29022728428459088"/>
                  <c:y val="-4.9614288034749619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mn-lt"/>
                      <a:ea typeface="+mn-ea"/>
                      <a:cs typeface="+mn-cs"/>
                    </a:defRPr>
                  </a:pPr>
                  <a:endParaRPr lang="zh-CN"/>
                </a:p>
              </c:txPr>
              <c:dLblPos val="r"/>
              <c:showLegendKey val="0"/>
              <c:showVal val="0"/>
              <c:showCatName val="0"/>
              <c:showSerName val="1"/>
              <c:showPercent val="0"/>
              <c:showBubbleSize val="0"/>
              <c:extLst>
                <c:ext xmlns:c15="http://schemas.microsoft.com/office/drawing/2012/chart" uri="{CE6537A1-D6FC-4f65-9D91-7224C49458BB}">
                  <c15:layout>
                    <c:manualLayout>
                      <c:w val="0.3486579653458538"/>
                      <c:h val="0.1470317855150195"/>
                    </c:manualLayout>
                  </c15:layout>
                </c:ext>
                <c:ext xmlns:c16="http://schemas.microsoft.com/office/drawing/2014/chart" uri="{C3380CC4-5D6E-409C-BE32-E72D297353CC}">
                  <c16:uniqueId val="{00000015-A23C-40E8-93B1-8C9F248436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multiLvlStrRef>
              <c:f>'斜率图（两组）'!$C$3:$D$4</c:f>
              <c:multiLvlStrCache>
                <c:ptCount val="2"/>
                <c:lvl>
                  <c:pt idx="0">
                    <c:v>26</c:v>
                  </c:pt>
                  <c:pt idx="1">
                    <c:v>41</c:v>
                  </c:pt>
                </c:lvl>
                <c:lvl>
                  <c:pt idx="0">
                    <c:v>2015</c:v>
                  </c:pt>
                  <c:pt idx="1">
                    <c:v>2060 forecast</c:v>
                  </c:pt>
                </c:lvl>
              </c:multiLvlStrCache>
            </c:multiLvlStrRef>
          </c:xVal>
          <c:yVal>
            <c:numRef>
              <c:f>'斜率图（两组）'!$C$5:$D$5</c:f>
              <c:numCache>
                <c:formatCode>General</c:formatCode>
                <c:ptCount val="2"/>
                <c:pt idx="0">
                  <c:v>25</c:v>
                </c:pt>
                <c:pt idx="1">
                  <c:v>22</c:v>
                </c:pt>
              </c:numCache>
            </c:numRef>
          </c:yVal>
          <c:smooth val="1"/>
          <c:extLst>
            <c:ext xmlns:c16="http://schemas.microsoft.com/office/drawing/2014/chart" uri="{C3380CC4-5D6E-409C-BE32-E72D297353CC}">
              <c16:uniqueId val="{00000002-A23C-40E8-93B1-8C9F2484368F}"/>
            </c:ext>
          </c:extLst>
        </c:ser>
        <c:ser>
          <c:idx val="1"/>
          <c:order val="1"/>
          <c:tx>
            <c:strRef>
              <c:f>'斜率图（两组）'!$B$6</c:f>
              <c:strCache>
                <c:ptCount val="1"/>
                <c:pt idx="0">
                  <c:v>Europe </c:v>
                </c:pt>
              </c:strCache>
            </c:strRef>
          </c:tx>
          <c:spPr>
            <a:ln w="38100" cap="rnd">
              <a:solidFill>
                <a:srgbClr val="7F8C8D"/>
              </a:solidFill>
              <a:round/>
            </a:ln>
            <a:effectLst/>
          </c:spPr>
          <c:marker>
            <c:symbol val="circle"/>
            <c:size val="11"/>
            <c:spPr>
              <a:solidFill>
                <a:srgbClr val="7F8C8D"/>
              </a:solidFill>
              <a:ln w="9525">
                <a:no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16-A23C-40E8-93B1-8C9F2484368F}"/>
                </c:ext>
              </c:extLst>
            </c:dLbl>
            <c:dLbl>
              <c:idx val="1"/>
              <c:layout>
                <c:manualLayout>
                  <c:x val="-0.19326165761639466"/>
                  <c:y val="-6.2483948574054426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mn-lt"/>
                      <a:ea typeface="+mn-ea"/>
                      <a:cs typeface="+mn-cs"/>
                    </a:defRPr>
                  </a:pPr>
                  <a:endParaRPr lang="zh-CN"/>
                </a:p>
              </c:txPr>
              <c:dLblPos val="r"/>
              <c:showLegendKey val="0"/>
              <c:showVal val="0"/>
              <c:showCatName val="0"/>
              <c:showSerName val="1"/>
              <c:showPercent val="0"/>
              <c:showBubbleSize val="0"/>
              <c:extLst>
                <c:ext xmlns:c15="http://schemas.microsoft.com/office/drawing/2012/chart" uri="{CE6537A1-D6FC-4f65-9D91-7224C49458BB}">
                  <c15:layout>
                    <c:manualLayout>
                      <c:w val="0.14155599215523398"/>
                      <c:h val="7.7165556325412735E-2"/>
                    </c:manualLayout>
                  </c15:layout>
                </c:ext>
                <c:ext xmlns:c16="http://schemas.microsoft.com/office/drawing/2014/chart" uri="{C3380CC4-5D6E-409C-BE32-E72D297353CC}">
                  <c16:uniqueId val="{00000017-A23C-40E8-93B1-8C9F248436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multiLvlStrRef>
              <c:f>'斜率图（两组）'!$C$3:$D$4</c:f>
              <c:multiLvlStrCache>
                <c:ptCount val="2"/>
                <c:lvl>
                  <c:pt idx="0">
                    <c:v>26</c:v>
                  </c:pt>
                  <c:pt idx="1">
                    <c:v>41</c:v>
                  </c:pt>
                </c:lvl>
                <c:lvl>
                  <c:pt idx="0">
                    <c:v>2015</c:v>
                  </c:pt>
                  <c:pt idx="1">
                    <c:v>2060 forecast</c:v>
                  </c:pt>
                </c:lvl>
              </c:multiLvlStrCache>
            </c:multiLvlStrRef>
          </c:xVal>
          <c:yVal>
            <c:numRef>
              <c:f>'斜率图（两组）'!$C$6:$D$6</c:f>
              <c:numCache>
                <c:formatCode>General</c:formatCode>
                <c:ptCount val="2"/>
                <c:pt idx="0">
                  <c:v>23</c:v>
                </c:pt>
                <c:pt idx="1">
                  <c:v>14</c:v>
                </c:pt>
              </c:numCache>
            </c:numRef>
          </c:yVal>
          <c:smooth val="1"/>
          <c:extLst>
            <c:ext xmlns:c16="http://schemas.microsoft.com/office/drawing/2014/chart" uri="{C3380CC4-5D6E-409C-BE32-E72D297353CC}">
              <c16:uniqueId val="{00000003-A23C-40E8-93B1-8C9F2484368F}"/>
            </c:ext>
          </c:extLst>
        </c:ser>
        <c:ser>
          <c:idx val="2"/>
          <c:order val="2"/>
          <c:tx>
            <c:strRef>
              <c:f>'斜率图（两组）'!$B$7</c:f>
              <c:strCache>
                <c:ptCount val="1"/>
                <c:pt idx="0">
                  <c:v>Asia-Paciffic</c:v>
                </c:pt>
              </c:strCache>
            </c:strRef>
          </c:tx>
          <c:spPr>
            <a:ln w="38100" cap="rnd">
              <a:solidFill>
                <a:srgbClr val="B71C1C"/>
              </a:solidFill>
              <a:round/>
            </a:ln>
            <a:effectLst/>
          </c:spPr>
          <c:marker>
            <c:symbol val="circle"/>
            <c:size val="11"/>
            <c:spPr>
              <a:solidFill>
                <a:srgbClr val="B71C1C"/>
              </a:solidFill>
              <a:ln w="9525">
                <a:noFill/>
              </a:ln>
              <a:effectLst/>
            </c:spPr>
          </c:marker>
          <c:dLbls>
            <c:dLbl>
              <c:idx val="0"/>
              <c:layout>
                <c:manualLayout>
                  <c:x val="2.9006295402184513E-2"/>
                  <c:y val="-3.8582922933177201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mn-lt"/>
                      <a:ea typeface="+mn-ea"/>
                      <a:cs typeface="+mn-cs"/>
                    </a:defRPr>
                  </a:pPr>
                  <a:endParaRPr lang="zh-CN"/>
                </a:p>
              </c:txPr>
              <c:dLblPos val="r"/>
              <c:showLegendKey val="0"/>
              <c:showVal val="0"/>
              <c:showCatName val="0"/>
              <c:showSerName val="1"/>
              <c:showPercent val="0"/>
              <c:showBubbleSize val="0"/>
              <c:extLst>
                <c:ext xmlns:c15="http://schemas.microsoft.com/office/drawing/2012/chart" uri="{CE6537A1-D6FC-4f65-9D91-7224C49458BB}">
                  <c15:layout>
                    <c:manualLayout>
                      <c:w val="0.2887593340716505"/>
                      <c:h val="8.8197066197455903E-2"/>
                    </c:manualLayout>
                  </c15:layout>
                </c:ext>
                <c:ext xmlns:c16="http://schemas.microsoft.com/office/drawing/2014/chart" uri="{C3380CC4-5D6E-409C-BE32-E72D297353CC}">
                  <c16:uniqueId val="{00000019-A23C-40E8-93B1-8C9F2484368F}"/>
                </c:ext>
              </c:extLst>
            </c:dLbl>
            <c:dLbl>
              <c:idx val="1"/>
              <c:delete val="1"/>
              <c:extLst>
                <c:ext xmlns:c15="http://schemas.microsoft.com/office/drawing/2012/chart" uri="{CE6537A1-D6FC-4f65-9D91-7224C49458BB}"/>
                <c:ext xmlns:c16="http://schemas.microsoft.com/office/drawing/2014/chart" uri="{C3380CC4-5D6E-409C-BE32-E72D297353CC}">
                  <c16:uniqueId val="{00000018-A23C-40E8-93B1-8C9F248436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multiLvlStrRef>
              <c:f>'斜率图（两组）'!$C$3:$D$4</c:f>
              <c:multiLvlStrCache>
                <c:ptCount val="2"/>
                <c:lvl>
                  <c:pt idx="0">
                    <c:v>26</c:v>
                  </c:pt>
                  <c:pt idx="1">
                    <c:v>41</c:v>
                  </c:pt>
                </c:lvl>
                <c:lvl>
                  <c:pt idx="0">
                    <c:v>2015</c:v>
                  </c:pt>
                  <c:pt idx="1">
                    <c:v>2060 forecast</c:v>
                  </c:pt>
                </c:lvl>
              </c:multiLvlStrCache>
            </c:multiLvlStrRef>
          </c:xVal>
          <c:yVal>
            <c:numRef>
              <c:f>'斜率图（两组）'!$C$7:$D$7</c:f>
              <c:numCache>
                <c:formatCode>General</c:formatCode>
                <c:ptCount val="2"/>
                <c:pt idx="0">
                  <c:v>13</c:v>
                </c:pt>
                <c:pt idx="1">
                  <c:v>13</c:v>
                </c:pt>
              </c:numCache>
            </c:numRef>
          </c:yVal>
          <c:smooth val="1"/>
          <c:extLst>
            <c:ext xmlns:c16="http://schemas.microsoft.com/office/drawing/2014/chart" uri="{C3380CC4-5D6E-409C-BE32-E72D297353CC}">
              <c16:uniqueId val="{0000000D-A23C-40E8-93B1-8C9F2484368F}"/>
            </c:ext>
          </c:extLst>
        </c:ser>
        <c:ser>
          <c:idx val="3"/>
          <c:order val="3"/>
          <c:tx>
            <c:strRef>
              <c:f>'斜率图（两组）'!$B$8</c:f>
              <c:strCache>
                <c:ptCount val="1"/>
                <c:pt idx="0">
                  <c:v>North Americe</c:v>
                </c:pt>
              </c:strCache>
            </c:strRef>
          </c:tx>
          <c:spPr>
            <a:ln w="38100" cap="rnd">
              <a:solidFill>
                <a:srgbClr val="8E24AA"/>
              </a:solidFill>
              <a:round/>
            </a:ln>
            <a:effectLst/>
          </c:spPr>
          <c:marker>
            <c:symbol val="circle"/>
            <c:size val="11"/>
            <c:spPr>
              <a:solidFill>
                <a:srgbClr val="8E24AA"/>
              </a:solidFill>
              <a:ln w="9525">
                <a:no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1B-A23C-40E8-93B1-8C9F2484368F}"/>
                </c:ext>
              </c:extLst>
            </c:dLbl>
            <c:dLbl>
              <c:idx val="1"/>
              <c:layout>
                <c:manualLayout>
                  <c:x val="-0.37745759540235996"/>
                  <c:y val="2.0252085925327835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mn-lt"/>
                      <a:ea typeface="+mn-ea"/>
                      <a:cs typeface="+mn-cs"/>
                    </a:defRPr>
                  </a:pPr>
                  <a:endParaRPr lang="zh-CN"/>
                </a:p>
              </c:txPr>
              <c:dLblPos val="r"/>
              <c:showLegendKey val="0"/>
              <c:showVal val="0"/>
              <c:showCatName val="0"/>
              <c:showSerName val="1"/>
              <c:showPercent val="0"/>
              <c:showBubbleSize val="0"/>
              <c:extLst>
                <c:ext xmlns:c15="http://schemas.microsoft.com/office/drawing/2012/chart" uri="{CE6537A1-D6FC-4f65-9D91-7224C49458BB}">
                  <c15:layout>
                    <c:manualLayout>
                      <c:w val="0.24418775634331097"/>
                      <c:h val="6.6134046453369566E-2"/>
                    </c:manualLayout>
                  </c15:layout>
                </c:ext>
                <c:ext xmlns:c16="http://schemas.microsoft.com/office/drawing/2014/chart" uri="{C3380CC4-5D6E-409C-BE32-E72D297353CC}">
                  <c16:uniqueId val="{0000001A-A23C-40E8-93B1-8C9F248436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multiLvlStrRef>
              <c:f>'斜率图（两组）'!$C$3:$D$4</c:f>
              <c:multiLvlStrCache>
                <c:ptCount val="2"/>
                <c:lvl>
                  <c:pt idx="0">
                    <c:v>26</c:v>
                  </c:pt>
                  <c:pt idx="1">
                    <c:v>41</c:v>
                  </c:pt>
                </c:lvl>
                <c:lvl>
                  <c:pt idx="0">
                    <c:v>2015</c:v>
                  </c:pt>
                  <c:pt idx="1">
                    <c:v>2060 forecast</c:v>
                  </c:pt>
                </c:lvl>
              </c:multiLvlStrCache>
            </c:multiLvlStrRef>
          </c:xVal>
          <c:yVal>
            <c:numRef>
              <c:f>'斜率图（两组）'!$C$8:$D$8</c:f>
              <c:numCache>
                <c:formatCode>General</c:formatCode>
                <c:ptCount val="2"/>
                <c:pt idx="0">
                  <c:v>12</c:v>
                </c:pt>
                <c:pt idx="1">
                  <c:v>9</c:v>
                </c:pt>
              </c:numCache>
            </c:numRef>
          </c:yVal>
          <c:smooth val="1"/>
          <c:extLst>
            <c:ext xmlns:c16="http://schemas.microsoft.com/office/drawing/2014/chart" uri="{C3380CC4-5D6E-409C-BE32-E72D297353CC}">
              <c16:uniqueId val="{0000000E-A23C-40E8-93B1-8C9F2484368F}"/>
            </c:ext>
          </c:extLst>
        </c:ser>
        <c:ser>
          <c:idx val="4"/>
          <c:order val="4"/>
          <c:tx>
            <c:strRef>
              <c:f>'斜率图（两组）'!$B$9</c:f>
              <c:strCache>
                <c:ptCount val="1"/>
                <c:pt idx="0">
                  <c:v>MENA*</c:v>
                </c:pt>
              </c:strCache>
            </c:strRef>
          </c:tx>
          <c:spPr>
            <a:ln w="38100" cap="rnd">
              <a:solidFill>
                <a:srgbClr val="D7CCC8"/>
              </a:solidFill>
              <a:round/>
            </a:ln>
            <a:effectLst/>
          </c:spPr>
          <c:marker>
            <c:symbol val="circle"/>
            <c:size val="11"/>
            <c:spPr>
              <a:solidFill>
                <a:srgbClr val="D7CCC8"/>
              </a:solidFill>
              <a:ln w="9525">
                <a:no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1C-A23C-40E8-93B1-8C9F2484368F}"/>
                </c:ext>
              </c:extLst>
            </c:dLbl>
            <c:dLbl>
              <c:idx val="1"/>
              <c:layout>
                <c:manualLayout>
                  <c:x val="-0.65975732227844908"/>
                  <c:y val="-4.0421218370909472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mn-lt"/>
                      <a:ea typeface="+mn-ea"/>
                      <a:cs typeface="+mn-cs"/>
                    </a:defRPr>
                  </a:pPr>
                  <a:endParaRPr lang="zh-CN"/>
                </a:p>
              </c:txPr>
              <c:dLblPos val="r"/>
              <c:showLegendKey val="0"/>
              <c:showVal val="0"/>
              <c:showCatName val="0"/>
              <c:showSerName val="1"/>
              <c:showPercent val="0"/>
              <c:showBubbleSize val="0"/>
              <c:extLst>
                <c:ext xmlns:c15="http://schemas.microsoft.com/office/drawing/2012/chart" uri="{CE6537A1-D6FC-4f65-9D91-7224C49458BB}">
                  <c15:layout>
                    <c:manualLayout>
                      <c:w val="0.15008212755585534"/>
                      <c:h val="8.451989624010818E-2"/>
                    </c:manualLayout>
                  </c15:layout>
                </c:ext>
                <c:ext xmlns:c16="http://schemas.microsoft.com/office/drawing/2014/chart" uri="{C3380CC4-5D6E-409C-BE32-E72D297353CC}">
                  <c16:uniqueId val="{0000001D-A23C-40E8-93B1-8C9F248436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t"/>
            <c:showLegendKey val="0"/>
            <c:showVal val="1"/>
            <c:showCatName val="0"/>
            <c:showSerName val="1"/>
            <c:showPercent val="0"/>
            <c:showBubbleSize val="0"/>
            <c:showLeaderLines val="0"/>
            <c:extLst>
              <c:ext xmlns:c15="http://schemas.microsoft.com/office/drawing/2012/chart" uri="{CE6537A1-D6FC-4f65-9D91-7224C49458BB}">
                <c15:showLeaderLines val="0"/>
              </c:ext>
            </c:extLst>
          </c:dLbls>
          <c:xVal>
            <c:multiLvlStrRef>
              <c:f>'斜率图（两组）'!$C$3:$D$4</c:f>
              <c:multiLvlStrCache>
                <c:ptCount val="2"/>
                <c:lvl>
                  <c:pt idx="0">
                    <c:v>26</c:v>
                  </c:pt>
                  <c:pt idx="1">
                    <c:v>41</c:v>
                  </c:pt>
                </c:lvl>
                <c:lvl>
                  <c:pt idx="0">
                    <c:v>2015</c:v>
                  </c:pt>
                  <c:pt idx="1">
                    <c:v>2060 forecast</c:v>
                  </c:pt>
                </c:lvl>
              </c:multiLvlStrCache>
            </c:multiLvlStrRef>
          </c:xVal>
          <c:yVal>
            <c:numRef>
              <c:f>'斜率图（两组）'!$C$9:$D$9</c:f>
              <c:numCache>
                <c:formatCode>General</c:formatCode>
                <c:ptCount val="2"/>
                <c:pt idx="0">
                  <c:v>1</c:v>
                </c:pt>
                <c:pt idx="1">
                  <c:v>1</c:v>
                </c:pt>
              </c:numCache>
            </c:numRef>
          </c:yVal>
          <c:smooth val="1"/>
          <c:extLst>
            <c:ext xmlns:c16="http://schemas.microsoft.com/office/drawing/2014/chart" uri="{C3380CC4-5D6E-409C-BE32-E72D297353CC}">
              <c16:uniqueId val="{0000000F-A23C-40E8-93B1-8C9F2484368F}"/>
            </c:ext>
          </c:extLst>
        </c:ser>
        <c:ser>
          <c:idx val="5"/>
          <c:order val="5"/>
          <c:tx>
            <c:strRef>
              <c:f>'斜率图（两组）'!$B$4</c:f>
              <c:strCache>
                <c:ptCount val="1"/>
                <c:pt idx="0">
                  <c:v>Sub-Saharan Africe</c:v>
                </c:pt>
              </c:strCache>
            </c:strRef>
          </c:tx>
          <c:spPr>
            <a:ln w="38100" cap="rnd">
              <a:solidFill>
                <a:schemeClr val="accent6"/>
              </a:solidFill>
              <a:round/>
            </a:ln>
            <a:effectLst/>
          </c:spPr>
          <c:marker>
            <c:symbol val="circle"/>
            <c:size val="11"/>
            <c:spPr>
              <a:solidFill>
                <a:srgbClr val="2C3E50"/>
              </a:solidFill>
              <a:ln w="9525">
                <a:noFill/>
              </a:ln>
              <a:effectLst/>
            </c:spPr>
          </c:marker>
          <c:dPt>
            <c:idx val="1"/>
            <c:marker>
              <c:symbol val="circle"/>
              <c:size val="11"/>
              <c:spPr>
                <a:solidFill>
                  <a:srgbClr val="2C3E50"/>
                </a:solidFill>
                <a:ln w="9525">
                  <a:noFill/>
                </a:ln>
                <a:effectLst/>
              </c:spPr>
            </c:marker>
            <c:bubble3D val="0"/>
            <c:spPr>
              <a:ln w="38100" cap="rnd">
                <a:solidFill>
                  <a:srgbClr val="2C3E50"/>
                </a:solidFill>
                <a:round/>
              </a:ln>
              <a:effectLst/>
            </c:spPr>
            <c:extLst>
              <c:ext xmlns:c16="http://schemas.microsoft.com/office/drawing/2014/chart" uri="{C3380CC4-5D6E-409C-BE32-E72D297353CC}">
                <c16:uniqueId val="{00000012-A23C-40E8-93B1-8C9F2484368F}"/>
              </c:ext>
            </c:extLst>
          </c:dPt>
          <c:dLbls>
            <c:dLbl>
              <c:idx val="0"/>
              <c:delete val="1"/>
              <c:extLst>
                <c:ext xmlns:c15="http://schemas.microsoft.com/office/drawing/2012/chart" uri="{CE6537A1-D6FC-4f65-9D91-7224C49458BB}"/>
                <c:ext xmlns:c16="http://schemas.microsoft.com/office/drawing/2014/chart" uri="{C3380CC4-5D6E-409C-BE32-E72D297353CC}">
                  <c16:uniqueId val="{00000013-A23C-40E8-93B1-8C9F2484368F}"/>
                </c:ext>
              </c:extLst>
            </c:dLbl>
            <c:dLbl>
              <c:idx val="1"/>
              <c:layout>
                <c:manualLayout>
                  <c:x val="-0.17451360371506636"/>
                  <c:y val="-3.2009619708241177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zh-CN"/>
                </a:p>
              </c:txPr>
              <c:dLblPos val="r"/>
              <c:showLegendKey val="0"/>
              <c:showVal val="0"/>
              <c:showCatName val="0"/>
              <c:showSerName val="1"/>
              <c:showPercent val="0"/>
              <c:showBubbleSize val="0"/>
              <c:extLst>
                <c:ext xmlns:c15="http://schemas.microsoft.com/office/drawing/2012/chart" uri="{CE6537A1-D6FC-4f65-9D91-7224C49458BB}">
                  <c15:layout>
                    <c:manualLayout>
                      <c:w val="0.37647587238452473"/>
                      <c:h val="9.7114058573553388E-2"/>
                    </c:manualLayout>
                  </c15:layout>
                </c:ext>
                <c:ext xmlns:c16="http://schemas.microsoft.com/office/drawing/2014/chart" uri="{C3380CC4-5D6E-409C-BE32-E72D297353CC}">
                  <c16:uniqueId val="{00000012-A23C-40E8-93B1-8C9F248436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'斜率图（两组）'!$C$3:$D$3</c:f>
              <c:strCache>
                <c:ptCount val="2"/>
                <c:pt idx="0">
                  <c:v>2015</c:v>
                </c:pt>
                <c:pt idx="1">
                  <c:v>2060 forecast</c:v>
                </c:pt>
              </c:strCache>
            </c:strRef>
          </c:xVal>
          <c:yVal>
            <c:numRef>
              <c:f>'斜率图（两组）'!$C$4:$D$4</c:f>
              <c:numCache>
                <c:formatCode>General</c:formatCode>
                <c:ptCount val="2"/>
                <c:pt idx="0">
                  <c:v>26</c:v>
                </c:pt>
                <c:pt idx="1">
                  <c:v>41</c:v>
                </c:pt>
              </c:numCache>
            </c:numRef>
          </c:yVal>
          <c:smooth val="1"/>
          <c:extLst>
            <c:ext xmlns:c16="http://schemas.microsoft.com/office/drawing/2014/chart" uri="{C3380CC4-5D6E-409C-BE32-E72D297353CC}">
              <c16:uniqueId val="{00000011-A23C-40E8-93B1-8C9F2484368F}"/>
            </c:ext>
          </c:extLst>
        </c:ser>
        <c:ser>
          <c:idx val="6"/>
          <c:order val="6"/>
          <c:tx>
            <c:strRef>
              <c:f>'斜率图（两组）'!$C$15</c:f>
              <c:strCache>
                <c:ptCount val="1"/>
                <c:pt idx="0">
                  <c:v>2015</c:v>
                </c:pt>
              </c:strCache>
            </c:strRef>
          </c:tx>
          <c:spPr>
            <a:ln w="19050" cap="rnd">
              <a:noFill/>
              <a:round/>
            </a:ln>
            <a:effectLst/>
          </c:spPr>
          <c:marker>
            <c:symbol val="circle"/>
            <c:size val="5"/>
            <c:spPr>
              <a:noFill/>
              <a:ln w="9525">
                <a:noFill/>
              </a:ln>
              <a:effectLst/>
            </c:spPr>
          </c:marker>
          <c:dLbls>
            <c:delete val="1"/>
          </c:dLbls>
          <c:errBars>
            <c:errDir val="y"/>
            <c:errBarType val="plus"/>
            <c:errValType val="cust"/>
            <c:noEndCap val="1"/>
            <c:plus>
              <c:numRef>
                <c:f>'斜率图（两组）'!$C$17</c:f>
                <c:numCache>
                  <c:formatCode>General</c:formatCode>
                  <c:ptCount val="1"/>
                  <c:pt idx="0">
                    <c:v>26</c:v>
                  </c:pt>
                </c:numCache>
              </c:numRef>
            </c:plus>
            <c:minus>
              <c:numLit>
                <c:formatCode>General</c:formatCode>
                <c:ptCount val="1"/>
                <c:pt idx="0">
                  <c:v>0</c:v>
                </c:pt>
              </c:numLit>
            </c:minus>
            <c:spPr>
              <a:noFill/>
              <a:ln w="12700" cap="flat" cmpd="sng" algn="ctr">
                <a:solidFill>
                  <a:schemeClr val="bg1">
                    <a:lumMod val="85000"/>
                    <a:alpha val="63000"/>
                  </a:schemeClr>
                </a:solidFill>
                <a:round/>
              </a:ln>
              <a:effectLst/>
            </c:spPr>
          </c:errBars>
          <c:xVal>
            <c:numLit>
              <c:formatCode>General</c:formatCode>
              <c:ptCount val="1"/>
              <c:pt idx="0">
                <c:v>1</c:v>
              </c:pt>
            </c:numLit>
          </c:xVal>
          <c:yVal>
            <c:numRef>
              <c:f>'斜率图（两组）'!$C$16</c:f>
              <c:numCache>
                <c:formatCode>General</c:formatCode>
                <c:ptCount val="1"/>
                <c:pt idx="0">
                  <c:v>0</c:v>
                </c:pt>
              </c:numCache>
            </c:numRef>
          </c:yVal>
          <c:smooth val="1"/>
          <c:extLst>
            <c:ext xmlns:c16="http://schemas.microsoft.com/office/drawing/2014/chart" uri="{C3380CC4-5D6E-409C-BE32-E72D297353CC}">
              <c16:uniqueId val="{0000001E-A23C-40E8-93B1-8C9F2484368F}"/>
            </c:ext>
          </c:extLst>
        </c:ser>
        <c:ser>
          <c:idx val="7"/>
          <c:order val="7"/>
          <c:tx>
            <c:strRef>
              <c:f>'斜率图（两组）'!$D$15</c:f>
              <c:strCache>
                <c:ptCount val="1"/>
                <c:pt idx="0">
                  <c:v>2060 forecast</c:v>
                </c:pt>
              </c:strCache>
            </c:strRef>
          </c:tx>
          <c:spPr>
            <a:ln w="19050" cap="rnd">
              <a:noFill/>
              <a:round/>
            </a:ln>
            <a:effectLst/>
          </c:spPr>
          <c:marker>
            <c:symbol val="circle"/>
            <c:size val="5"/>
            <c:spPr>
              <a:noFill/>
              <a:ln w="9525">
                <a:noFill/>
              </a:ln>
              <a:effectLst/>
            </c:spPr>
          </c:marker>
          <c:dLbls>
            <c:delete val="1"/>
          </c:dLbls>
          <c:errBars>
            <c:errDir val="y"/>
            <c:errBarType val="plus"/>
            <c:errValType val="cust"/>
            <c:noEndCap val="1"/>
            <c:plus>
              <c:numRef>
                <c:f>'斜率图（两组）'!$D$17</c:f>
                <c:numCache>
                  <c:formatCode>General</c:formatCode>
                  <c:ptCount val="1"/>
                  <c:pt idx="0">
                    <c:v>41</c:v>
                  </c:pt>
                </c:numCache>
              </c:numRef>
            </c:plus>
            <c:minus>
              <c:numLit>
                <c:formatCode>General</c:formatCode>
                <c:ptCount val="1"/>
                <c:pt idx="0">
                  <c:v>0</c:v>
                </c:pt>
              </c:numLit>
            </c:minus>
            <c:spPr>
              <a:noFill/>
              <a:ln w="12700" cap="flat" cmpd="sng" algn="ctr">
                <a:solidFill>
                  <a:schemeClr val="bg1">
                    <a:lumMod val="85000"/>
                  </a:schemeClr>
                </a:solidFill>
                <a:round/>
              </a:ln>
              <a:effectLst/>
            </c:spPr>
          </c:errBars>
          <c:xVal>
            <c:numLit>
              <c:formatCode>General</c:formatCode>
              <c:ptCount val="1"/>
              <c:pt idx="0">
                <c:v>2</c:v>
              </c:pt>
            </c:numLit>
          </c:xVal>
          <c:yVal>
            <c:numRef>
              <c:f>'斜率图（两组）'!$D$16</c:f>
              <c:numCache>
                <c:formatCode>General</c:formatCode>
                <c:ptCount val="1"/>
                <c:pt idx="0">
                  <c:v>0</c:v>
                </c:pt>
              </c:numCache>
            </c:numRef>
          </c:yVal>
          <c:smooth val="1"/>
          <c:extLst>
            <c:ext xmlns:c16="http://schemas.microsoft.com/office/drawing/2014/chart" uri="{C3380CC4-5D6E-409C-BE32-E72D297353CC}">
              <c16:uniqueId val="{0000001F-A23C-40E8-93B1-8C9F2484368F}"/>
            </c:ext>
          </c:extLst>
        </c:ser>
        <c:dLbls>
          <c:dLblPos val="t"/>
          <c:showLegendKey val="0"/>
          <c:showVal val="1"/>
          <c:showCatName val="0"/>
          <c:showSerName val="0"/>
          <c:showPercent val="0"/>
          <c:showBubbleSize val="0"/>
        </c:dLbls>
        <c:axId val="323764511"/>
        <c:axId val="323753471"/>
      </c:scatterChart>
      <c:valAx>
        <c:axId val="323764511"/>
        <c:scaling>
          <c:orientation val="minMax"/>
          <c:max val="2.2200000000000002"/>
          <c:min val="0.95000000000000007"/>
        </c:scaling>
        <c:delete val="0"/>
        <c:axPos val="b"/>
        <c:majorGridlines>
          <c:spPr>
            <a:ln w="9525" cap="flat" cmpd="sng" algn="ctr">
              <a:noFill/>
              <a:round/>
            </a:ln>
            <a:effectLst/>
          </c:spPr>
        </c:majorGridlines>
        <c:majorTickMark val="none"/>
        <c:minorTickMark val="none"/>
        <c:tickLblPos val="none"/>
        <c:spPr>
          <a:noFill/>
          <a:ln w="25400" cap="flat" cmpd="sng" algn="ctr">
            <a:solidFill>
              <a:schemeClr val="accent1">
                <a:shade val="1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23753471"/>
        <c:crosses val="autoZero"/>
        <c:crossBetween val="midCat"/>
      </c:valAx>
      <c:valAx>
        <c:axId val="323753471"/>
        <c:scaling>
          <c:orientation val="minMax"/>
          <c:max val="50"/>
        </c:scaling>
        <c:delete val="0"/>
        <c:axPos val="l"/>
        <c:majorGridlines>
          <c:spPr>
            <a:ln w="9525" cap="flat" cmpd="sng" algn="ctr">
              <a:solidFill>
                <a:srgbClr val="E1EBF4"/>
              </a:solidFill>
              <a:round/>
            </a:ln>
            <a:effectLst/>
          </c:spPr>
        </c:majorGridlines>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23764511"/>
        <c:crosses val="autoZero"/>
        <c:crossBetween val="midCat"/>
        <c:majorUnit val="1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5F2"/>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686274509803917E-3"/>
          <c:y val="0.10002150251374625"/>
          <c:w val="0.92"/>
          <c:h val="0.89659224441833141"/>
        </c:manualLayout>
      </c:layout>
      <c:barChart>
        <c:barDir val="bar"/>
        <c:grouping val="clustered"/>
        <c:varyColors val="0"/>
        <c:ser>
          <c:idx val="1"/>
          <c:order val="0"/>
          <c:tx>
            <c:strRef>
              <c:f>'表型图（可视化）'!$C$1</c:f>
              <c:strCache>
                <c:ptCount val="1"/>
                <c:pt idx="0">
                  <c:v>Sales,m</c:v>
                </c:pt>
              </c:strCache>
            </c:strRef>
          </c:tx>
          <c:spPr>
            <a:solidFill>
              <a:srgbClr val="7F8C8D"/>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rgbClr val="011526"/>
                    </a:solidFill>
                    <a:latin typeface="+mn-lt"/>
                    <a:ea typeface="+mn-ea"/>
                    <a:cs typeface="+mn-cs"/>
                  </a:defRPr>
                </a:pPr>
                <a:endParaRPr lang="zh-CN"/>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'表型图（可视化）'!$C$3:$C$13</c:f>
              <c:numCache>
                <c:formatCode>0.0_ </c:formatCode>
                <c:ptCount val="11"/>
                <c:pt idx="0">
                  <c:v>4.2</c:v>
                </c:pt>
                <c:pt idx="1">
                  <c:v>1.5</c:v>
                </c:pt>
                <c:pt idx="2">
                  <c:v>1.6</c:v>
                </c:pt>
                <c:pt idx="3">
                  <c:v>0.3</c:v>
                </c:pt>
                <c:pt idx="4">
                  <c:v>0.01</c:v>
                </c:pt>
                <c:pt idx="7">
                  <c:v>2.8</c:v>
                </c:pt>
                <c:pt idx="8">
                  <c:v>2.5</c:v>
                </c:pt>
                <c:pt idx="9">
                  <c:v>1.3</c:v>
                </c:pt>
                <c:pt idx="10">
                  <c:v>0.01</c:v>
                </c:pt>
              </c:numCache>
            </c:numRef>
          </c:val>
          <c:extLst>
            <c:ext xmlns:c16="http://schemas.microsoft.com/office/drawing/2014/chart" uri="{C3380CC4-5D6E-409C-BE32-E72D297353CC}">
              <c16:uniqueId val="{00000002-383A-4FC8-91AC-F307019C3173}"/>
            </c:ext>
          </c:extLst>
        </c:ser>
        <c:dLbls>
          <c:showLegendKey val="0"/>
          <c:showVal val="0"/>
          <c:showCatName val="0"/>
          <c:showSerName val="0"/>
          <c:showPercent val="0"/>
          <c:showBubbleSize val="0"/>
        </c:dLbls>
        <c:gapWidth val="38"/>
        <c:axId val="800668320"/>
        <c:axId val="800664960"/>
      </c:barChart>
      <c:catAx>
        <c:axId val="800668320"/>
        <c:scaling>
          <c:orientation val="maxMin"/>
        </c:scaling>
        <c:delete val="1"/>
        <c:axPos val="l"/>
        <c:majorTickMark val="out"/>
        <c:minorTickMark val="none"/>
        <c:tickLblPos val="nextTo"/>
        <c:crossAx val="800664960"/>
        <c:crosses val="autoZero"/>
        <c:auto val="1"/>
        <c:lblAlgn val="ctr"/>
        <c:lblOffset val="100"/>
        <c:noMultiLvlLbl val="0"/>
      </c:catAx>
      <c:valAx>
        <c:axId val="800664960"/>
        <c:scaling>
          <c:orientation val="minMax"/>
          <c:max val="6"/>
        </c:scaling>
        <c:delete val="1"/>
        <c:axPos val="t"/>
        <c:majorGridlines>
          <c:spPr>
            <a:ln w="9525" cap="flat" cmpd="sng" algn="ctr">
              <a:noFill/>
              <a:round/>
            </a:ln>
            <a:effectLst/>
          </c:spPr>
        </c:majorGridlines>
        <c:numFmt formatCode="0.0_ " sourceLinked="1"/>
        <c:majorTickMark val="out"/>
        <c:minorTickMark val="none"/>
        <c:tickLblPos val="nextTo"/>
        <c:crossAx val="80066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zh-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'表型图（可视化）'!$D$1</c:f>
              <c:strCache>
                <c:ptCount val="1"/>
                <c:pt idx="0">
                  <c:v>Revenues,#bn</c:v>
                </c:pt>
              </c:strCache>
            </c:strRef>
          </c:tx>
          <c:spPr>
            <a:solidFill>
              <a:srgbClr val="7F8C8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rgbClr val="011526"/>
                    </a:solidFill>
                    <a:latin typeface="+mn-lt"/>
                    <a:ea typeface="+mn-ea"/>
                    <a:cs typeface="+mn-cs"/>
                  </a:defRPr>
                </a:pPr>
                <a:endParaRPr lang="zh-CN"/>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'表型图（可视化）'!$D$3:$D$13</c:f>
              <c:numCache>
                <c:formatCode>0.0_ </c:formatCode>
                <c:ptCount val="11"/>
                <c:pt idx="0">
                  <c:v>96.5</c:v>
                </c:pt>
                <c:pt idx="1">
                  <c:v>59.2</c:v>
                </c:pt>
                <c:pt idx="2">
                  <c:v>27.5</c:v>
                </c:pt>
                <c:pt idx="3">
                  <c:v>23.7</c:v>
                </c:pt>
                <c:pt idx="4">
                  <c:v>1.5</c:v>
                </c:pt>
                <c:pt idx="7">
                  <c:v>106.7</c:v>
                </c:pt>
                <c:pt idx="8">
                  <c:v>85.8</c:v>
                </c:pt>
                <c:pt idx="9">
                  <c:v>15.7</c:v>
                </c:pt>
                <c:pt idx="10">
                  <c:v>3.4</c:v>
                </c:pt>
              </c:numCache>
            </c:numRef>
          </c:val>
          <c:extLst>
            <c:ext xmlns:c16="http://schemas.microsoft.com/office/drawing/2014/chart" uri="{C3380CC4-5D6E-409C-BE32-E72D297353CC}">
              <c16:uniqueId val="{00000002-63E4-4295-9479-D7CD7D502461}"/>
            </c:ext>
          </c:extLst>
        </c:ser>
        <c:dLbls>
          <c:dLblPos val="inEnd"/>
          <c:showLegendKey val="0"/>
          <c:showVal val="1"/>
          <c:showCatName val="0"/>
          <c:showSerName val="0"/>
          <c:showPercent val="0"/>
          <c:showBubbleSize val="0"/>
        </c:dLbls>
        <c:gapWidth val="38"/>
        <c:axId val="640217248"/>
        <c:axId val="640217728"/>
      </c:barChart>
      <c:catAx>
        <c:axId val="640217248"/>
        <c:scaling>
          <c:orientation val="maxMin"/>
        </c:scaling>
        <c:delete val="1"/>
        <c:axPos val="l"/>
        <c:majorTickMark val="none"/>
        <c:minorTickMark val="none"/>
        <c:tickLblPos val="nextTo"/>
        <c:crossAx val="640217728"/>
        <c:crosses val="autoZero"/>
        <c:auto val="1"/>
        <c:lblAlgn val="ctr"/>
        <c:lblOffset val="100"/>
        <c:noMultiLvlLbl val="0"/>
      </c:catAx>
      <c:valAx>
        <c:axId val="640217728"/>
        <c:scaling>
          <c:orientation val="minMax"/>
          <c:max val="110"/>
        </c:scaling>
        <c:delete val="1"/>
        <c:axPos val="t"/>
        <c:majorGridlines>
          <c:spPr>
            <a:ln w="9525" cap="flat" cmpd="sng" algn="ctr">
              <a:noFill/>
              <a:round/>
            </a:ln>
            <a:effectLst/>
          </c:spPr>
        </c:majorGridlines>
        <c:numFmt formatCode="0.0_ " sourceLinked="1"/>
        <c:majorTickMark val="none"/>
        <c:minorTickMark val="none"/>
        <c:tickLblPos val="nextTo"/>
        <c:crossAx val="6402172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zh-C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54712742854455E-2"/>
          <c:y val="9.2779860479757684E-2"/>
          <c:w val="0.91968254771328106"/>
          <c:h val="0.88802837362615339"/>
        </c:manualLayout>
      </c:layout>
      <c:barChart>
        <c:barDir val="bar"/>
        <c:grouping val="clustered"/>
        <c:varyColors val="0"/>
        <c:ser>
          <c:idx val="1"/>
          <c:order val="0"/>
          <c:tx>
            <c:strRef>
              <c:f>'表型图（可视化）'!$E$1</c:f>
              <c:strCache>
                <c:ptCount val="1"/>
                <c:pt idx="0">
                  <c:v>Operating
profit,#bn</c:v>
                </c:pt>
              </c:strCache>
            </c:strRef>
          </c:tx>
          <c:spPr>
            <a:solidFill>
              <a:srgbClr val="7F8C8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rgbClr val="011526"/>
                    </a:solidFill>
                    <a:latin typeface="+mn-lt"/>
                    <a:ea typeface="+mn-ea"/>
                    <a:cs typeface="+mn-cs"/>
                  </a:defRPr>
                </a:pPr>
                <a:endParaRPr lang="zh-CN"/>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'表型图（可视化）'!$E$3:$E$13</c:f>
              <c:numCache>
                <c:formatCode>0.0_ </c:formatCode>
                <c:ptCount val="11"/>
                <c:pt idx="0">
                  <c:v>4</c:v>
                </c:pt>
                <c:pt idx="1">
                  <c:v>4.7</c:v>
                </c:pt>
                <c:pt idx="2">
                  <c:v>1.6</c:v>
                </c:pt>
                <c:pt idx="3">
                  <c:v>4.0999999999999996</c:v>
                </c:pt>
                <c:pt idx="4">
                  <c:v>-0.3</c:v>
                </c:pt>
                <c:pt idx="7">
                  <c:v>7.5</c:v>
                </c:pt>
                <c:pt idx="8">
                  <c:v>6.2</c:v>
                </c:pt>
                <c:pt idx="9">
                  <c:v>-0.3</c:v>
                </c:pt>
                <c:pt idx="10">
                  <c:v>0.8</c:v>
                </c:pt>
              </c:numCache>
            </c:numRef>
          </c:val>
          <c:extLst>
            <c:ext xmlns:c16="http://schemas.microsoft.com/office/drawing/2014/chart" uri="{C3380CC4-5D6E-409C-BE32-E72D297353CC}">
              <c16:uniqueId val="{00000002-3538-4058-B753-F8B5092DA892}"/>
            </c:ext>
          </c:extLst>
        </c:ser>
        <c:dLbls>
          <c:dLblPos val="inEnd"/>
          <c:showLegendKey val="0"/>
          <c:showVal val="1"/>
          <c:showCatName val="0"/>
          <c:showSerName val="0"/>
          <c:showPercent val="0"/>
          <c:showBubbleSize val="0"/>
        </c:dLbls>
        <c:gapWidth val="38"/>
        <c:overlap val="-14"/>
        <c:axId val="655649056"/>
        <c:axId val="655649536"/>
      </c:barChart>
      <c:catAx>
        <c:axId val="655649056"/>
        <c:scaling>
          <c:orientation val="maxMin"/>
        </c:scaling>
        <c:delete val="1"/>
        <c:axPos val="l"/>
        <c:majorTickMark val="none"/>
        <c:minorTickMark val="none"/>
        <c:tickLblPos val="nextTo"/>
        <c:crossAx val="655649536"/>
        <c:crosses val="autoZero"/>
        <c:auto val="1"/>
        <c:lblAlgn val="ctr"/>
        <c:lblOffset val="100"/>
        <c:noMultiLvlLbl val="0"/>
      </c:catAx>
      <c:valAx>
        <c:axId val="655649536"/>
        <c:scaling>
          <c:orientation val="minMax"/>
        </c:scaling>
        <c:delete val="1"/>
        <c:axPos val="t"/>
        <c:majorGridlines>
          <c:spPr>
            <a:ln w="9525" cap="flat" cmpd="sng" algn="ctr">
              <a:noFill/>
              <a:round/>
            </a:ln>
            <a:effectLst/>
          </c:spPr>
        </c:majorGridlines>
        <c:numFmt formatCode="0.0_ " sourceLinked="1"/>
        <c:majorTickMark val="none"/>
        <c:minorTickMark val="none"/>
        <c:tickLblPos val="nextTo"/>
        <c:crossAx val="6556490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zh-C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231267118242357"/>
          <c:y val="0.27867243628750943"/>
          <c:w val="0.69750851946761527"/>
          <c:h val="0.60660000550918658"/>
        </c:manualLayout>
      </c:layout>
      <c:barChart>
        <c:barDir val="bar"/>
        <c:grouping val="stacked"/>
        <c:varyColors val="0"/>
        <c:ser>
          <c:idx val="0"/>
          <c:order val="2"/>
          <c:tx>
            <c:strRef>
              <c:f>'杠铃图（2~3组）'!$F$2</c:f>
              <c:strCache>
                <c:ptCount val="1"/>
                <c:pt idx="0">
                  <c:v>Lot1 </c:v>
                </c:pt>
              </c:strCache>
            </c:strRef>
          </c:tx>
          <c:spPr>
            <a:noFill/>
            <a:ln w="25400">
              <a:noFill/>
            </a:ln>
            <a:effectLst/>
          </c:spPr>
          <c:invertIfNegative val="0"/>
          <c:cat>
            <c:strRef>
              <c:f>'杠铃图（2~3组）'!$A$3:$A$12</c:f>
              <c:strCache>
                <c:ptCount val="10"/>
                <c:pt idx="0">
                  <c:v>Denmark</c:v>
                </c:pt>
                <c:pt idx="1">
                  <c:v>Germany</c:v>
                </c:pt>
                <c:pt idx="2">
                  <c:v>Britain</c:v>
                </c:pt>
                <c:pt idx="3">
                  <c:v>Japan</c:v>
                </c:pt>
                <c:pt idx="4">
                  <c:v>China⬆️</c:v>
                </c:pt>
                <c:pt idx="5">
                  <c:v>United States</c:v>
                </c:pt>
                <c:pt idx="6">
                  <c:v>France</c:v>
                </c:pt>
                <c:pt idx="7">
                  <c:v>OECD average</c:v>
                </c:pt>
                <c:pt idx="8">
                  <c:v>South Korea</c:v>
                </c:pt>
                <c:pt idx="9">
                  <c:v>Italy</c:v>
                </c:pt>
              </c:strCache>
            </c:strRef>
          </c:cat>
          <c:val>
            <c:numRef>
              <c:f>'杠铃图（2~3组）'!$F$3:$F$12</c:f>
              <c:numCache>
                <c:formatCode>General</c:formatCode>
                <c:ptCount val="10"/>
                <c:pt idx="0">
                  <c:v>71</c:v>
                </c:pt>
                <c:pt idx="1">
                  <c:v>46</c:v>
                </c:pt>
                <c:pt idx="2">
                  <c:v>62</c:v>
                </c:pt>
                <c:pt idx="3">
                  <c:v>52</c:v>
                </c:pt>
                <c:pt idx="4">
                  <c:v>68</c:v>
                </c:pt>
                <c:pt idx="5">
                  <c:v>47</c:v>
                </c:pt>
                <c:pt idx="6">
                  <c:v>46</c:v>
                </c:pt>
                <c:pt idx="7">
                  <c:v>46</c:v>
                </c:pt>
                <c:pt idx="8">
                  <c:v>44</c:v>
                </c:pt>
                <c:pt idx="9">
                  <c:v>27</c:v>
                </c:pt>
              </c:numCache>
            </c:numRef>
          </c:val>
          <c:extLst>
            <c:ext xmlns:c16="http://schemas.microsoft.com/office/drawing/2014/chart" uri="{C3380CC4-5D6E-409C-BE32-E72D297353CC}">
              <c16:uniqueId val="{00000000-D14E-46C7-B4BA-F758672847B7}"/>
            </c:ext>
          </c:extLst>
        </c:ser>
        <c:ser>
          <c:idx val="1"/>
          <c:order val="3"/>
          <c:tx>
            <c:strRef>
              <c:f>'杠铃图（2~3组）'!$G$2</c:f>
              <c:strCache>
                <c:ptCount val="1"/>
                <c:pt idx="0">
                  <c:v>Lot2</c:v>
                </c:pt>
              </c:strCache>
            </c:strRef>
          </c:tx>
          <c:spPr>
            <a:solidFill>
              <a:srgbClr val="B71C1C"/>
            </a:solidFill>
            <a:ln w="25400">
              <a:noFill/>
            </a:ln>
            <a:effectLst/>
          </c:spPr>
          <c:invertIfNegative val="0"/>
          <c:cat>
            <c:strRef>
              <c:f>'杠铃图（2~3组）'!$A$3:$A$12</c:f>
              <c:strCache>
                <c:ptCount val="10"/>
                <c:pt idx="0">
                  <c:v>Denmark</c:v>
                </c:pt>
                <c:pt idx="1">
                  <c:v>Germany</c:v>
                </c:pt>
                <c:pt idx="2">
                  <c:v>Britain</c:v>
                </c:pt>
                <c:pt idx="3">
                  <c:v>Japan</c:v>
                </c:pt>
                <c:pt idx="4">
                  <c:v>China⬆️</c:v>
                </c:pt>
                <c:pt idx="5">
                  <c:v>United States</c:v>
                </c:pt>
                <c:pt idx="6">
                  <c:v>France</c:v>
                </c:pt>
                <c:pt idx="7">
                  <c:v>OECD average</c:v>
                </c:pt>
                <c:pt idx="8">
                  <c:v>South Korea</c:v>
                </c:pt>
                <c:pt idx="9">
                  <c:v>Italy</c:v>
                </c:pt>
              </c:strCache>
            </c:strRef>
          </c:cat>
          <c:val>
            <c:numRef>
              <c:f>'杠铃图（2~3组）'!$G$3:$G$12</c:f>
              <c:numCache>
                <c:formatCode>General</c:formatCode>
                <c:ptCount val="10"/>
                <c:pt idx="0">
                  <c:v>4</c:v>
                </c:pt>
                <c:pt idx="1">
                  <c:v>27</c:v>
                </c:pt>
                <c:pt idx="2">
                  <c:v>10</c:v>
                </c:pt>
                <c:pt idx="3">
                  <c:v>17</c:v>
                </c:pt>
                <c:pt idx="4">
                  <c:v>11</c:v>
                </c:pt>
                <c:pt idx="5">
                  <c:v>20</c:v>
                </c:pt>
                <c:pt idx="6">
                  <c:v>21</c:v>
                </c:pt>
                <c:pt idx="7">
                  <c:v>18</c:v>
                </c:pt>
                <c:pt idx="8">
                  <c:v>15</c:v>
                </c:pt>
                <c:pt idx="9">
                  <c:v>28</c:v>
                </c:pt>
              </c:numCache>
            </c:numRef>
          </c:val>
          <c:extLst>
            <c:ext xmlns:c16="http://schemas.microsoft.com/office/drawing/2014/chart" uri="{C3380CC4-5D6E-409C-BE32-E72D297353CC}">
              <c16:uniqueId val="{00000001-D14E-46C7-B4BA-F758672847B7}"/>
            </c:ext>
          </c:extLst>
        </c:ser>
        <c:ser>
          <c:idx val="2"/>
          <c:order val="4"/>
          <c:tx>
            <c:strRef>
              <c:f>'杠铃图（2~3组）'!$H$2</c:f>
              <c:strCache>
                <c:ptCount val="1"/>
                <c:pt idx="0">
                  <c:v>Lot3</c:v>
                </c:pt>
              </c:strCache>
            </c:strRef>
          </c:tx>
          <c:spPr>
            <a:noFill/>
            <a:ln w="25400">
              <a:noFill/>
            </a:ln>
            <a:effectLst/>
          </c:spPr>
          <c:invertIfNegative val="0"/>
          <c:cat>
            <c:strRef>
              <c:f>'杠铃图（2~3组）'!$A$3:$A$12</c:f>
              <c:strCache>
                <c:ptCount val="10"/>
                <c:pt idx="0">
                  <c:v>Denmark</c:v>
                </c:pt>
                <c:pt idx="1">
                  <c:v>Germany</c:v>
                </c:pt>
                <c:pt idx="2">
                  <c:v>Britain</c:v>
                </c:pt>
                <c:pt idx="3">
                  <c:v>Japan</c:v>
                </c:pt>
                <c:pt idx="4">
                  <c:v>China⬆️</c:v>
                </c:pt>
                <c:pt idx="5">
                  <c:v>United States</c:v>
                </c:pt>
                <c:pt idx="6">
                  <c:v>France</c:v>
                </c:pt>
                <c:pt idx="7">
                  <c:v>OECD average</c:v>
                </c:pt>
                <c:pt idx="8">
                  <c:v>South Korea</c:v>
                </c:pt>
                <c:pt idx="9">
                  <c:v>Italy</c:v>
                </c:pt>
              </c:strCache>
            </c:strRef>
          </c:cat>
          <c:val>
            <c:numRef>
              <c:f>'杠铃图（2~3组）'!$H$3:$H$12</c:f>
              <c:numCache>
                <c:formatCode>General</c:formatCode>
                <c:ptCount val="10"/>
                <c:pt idx="0">
                  <c:v>5</c:v>
                </c:pt>
                <c:pt idx="1">
                  <c:v>7</c:v>
                </c:pt>
                <c:pt idx="2">
                  <c:v>8</c:v>
                </c:pt>
                <c:pt idx="3">
                  <c:v>11</c:v>
                </c:pt>
                <c:pt idx="4">
                  <c:v>1</c:v>
                </c:pt>
                <c:pt idx="5">
                  <c:v>13</c:v>
                </c:pt>
                <c:pt idx="6">
                  <c:v>13</c:v>
                </c:pt>
                <c:pt idx="7">
                  <c:v>16</c:v>
                </c:pt>
                <c:pt idx="8">
                  <c:v>21</c:v>
                </c:pt>
                <c:pt idx="9">
                  <c:v>25</c:v>
                </c:pt>
              </c:numCache>
            </c:numRef>
          </c:val>
          <c:extLst>
            <c:ext xmlns:c16="http://schemas.microsoft.com/office/drawing/2014/chart" uri="{C3380CC4-5D6E-409C-BE32-E72D297353CC}">
              <c16:uniqueId val="{00000002-D14E-46C7-B4BA-F758672847B7}"/>
            </c:ext>
          </c:extLst>
        </c:ser>
        <c:ser>
          <c:idx val="3"/>
          <c:order val="5"/>
          <c:tx>
            <c:strRef>
              <c:f>'杠铃图（2~3组）'!$I$2</c:f>
              <c:strCache>
                <c:ptCount val="1"/>
                <c:pt idx="0">
                  <c:v>Lot0</c:v>
                </c:pt>
              </c:strCache>
            </c:strRef>
          </c:tx>
          <c:spPr>
            <a:noFill/>
            <a:ln w="25400">
              <a:noFill/>
            </a:ln>
            <a:effectLst/>
          </c:spPr>
          <c:invertIfNegative val="0"/>
          <c:dLbls>
            <c:dLbl>
              <c:idx val="0"/>
              <c:tx>
                <c:rich>
                  <a:bodyPr/>
                  <a:lstStyle/>
                  <a:p>
                    <a:fld id="{913BDDBC-ABF1-4021-BDA5-03083258FF48}" type="CELLRANGE">
                      <a:rPr lang="en-US" altLang="zh-CN"/>
                      <a:pPr/>
                      <a:t>[CELLRANGE]</a:t>
                    </a:fld>
                    <a:endParaRPr lang="zh-CN" altLang="en-US"/>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D14E-46C7-B4BA-F758672847B7}"/>
                </c:ext>
              </c:extLst>
            </c:dLbl>
            <c:dLbl>
              <c:idx val="1"/>
              <c:tx>
                <c:rich>
                  <a:bodyPr/>
                  <a:lstStyle/>
                  <a:p>
                    <a:fld id="{DE431B27-A0B4-46F0-ACEA-D6AACC03444B}" type="CELLRANGE">
                      <a:rPr lang="zh-CN" altLang="en-US"/>
                      <a:pPr/>
                      <a:t>[CELLRANGE]</a:t>
                    </a:fld>
                    <a:endParaRPr lang="zh-CN" alt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14E-46C7-B4BA-F758672847B7}"/>
                </c:ext>
              </c:extLst>
            </c:dLbl>
            <c:dLbl>
              <c:idx val="2"/>
              <c:tx>
                <c:rich>
                  <a:bodyPr/>
                  <a:lstStyle/>
                  <a:p>
                    <a:fld id="{0389BD61-05E4-43A5-8D5D-0B9BB628E9CF}" type="CELLRANGE">
                      <a:rPr lang="zh-CN" altLang="en-US"/>
                      <a:pPr/>
                      <a:t>[CELLRANGE]</a:t>
                    </a:fld>
                    <a:endParaRPr lang="zh-CN" alt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14E-46C7-B4BA-F758672847B7}"/>
                </c:ext>
              </c:extLst>
            </c:dLbl>
            <c:dLbl>
              <c:idx val="3"/>
              <c:tx>
                <c:rich>
                  <a:bodyPr/>
                  <a:lstStyle/>
                  <a:p>
                    <a:fld id="{5F2C8FDE-FADC-41BF-8FD3-F87E0C042AB8}" type="CELLRANGE">
                      <a:rPr lang="zh-CN" altLang="en-US"/>
                      <a:pPr/>
                      <a:t>[CELLRANGE]</a:t>
                    </a:fld>
                    <a:endParaRPr lang="zh-CN" alt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14E-46C7-B4BA-F758672847B7}"/>
                </c:ext>
              </c:extLst>
            </c:dLbl>
            <c:dLbl>
              <c:idx val="4"/>
              <c:tx>
                <c:rich>
                  <a:bodyPr/>
                  <a:lstStyle/>
                  <a:p>
                    <a:fld id="{6AFAF4A3-1376-486F-B6F4-D6D39B9E2063}" type="CELLRANGE">
                      <a:rPr lang="zh-CN" altLang="en-US"/>
                      <a:pPr/>
                      <a:t>[CELLRANGE]</a:t>
                    </a:fld>
                    <a:endParaRPr lang="zh-CN" alt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14E-46C7-B4BA-F758672847B7}"/>
                </c:ext>
              </c:extLst>
            </c:dLbl>
            <c:dLbl>
              <c:idx val="5"/>
              <c:tx>
                <c:rich>
                  <a:bodyPr/>
                  <a:lstStyle/>
                  <a:p>
                    <a:fld id="{E80ABB40-883F-42D9-BB54-4AE9B1FF1ED7}" type="CELLRANGE">
                      <a:rPr lang="zh-CN" altLang="en-US"/>
                      <a:pPr/>
                      <a:t>[CELLRANGE]</a:t>
                    </a:fld>
                    <a:endParaRPr lang="zh-CN" alt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14E-46C7-B4BA-F758672847B7}"/>
                </c:ext>
              </c:extLst>
            </c:dLbl>
            <c:dLbl>
              <c:idx val="6"/>
              <c:tx>
                <c:rich>
                  <a:bodyPr/>
                  <a:lstStyle/>
                  <a:p>
                    <a:fld id="{4EDF25A8-7048-4A62-85A7-83B0EE60F77F}" type="CELLRANGE">
                      <a:rPr lang="zh-CN" altLang="en-US"/>
                      <a:pPr/>
                      <a:t>[CELLRANGE]</a:t>
                    </a:fld>
                    <a:endParaRPr lang="zh-CN" alt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14E-46C7-B4BA-F758672847B7}"/>
                </c:ext>
              </c:extLst>
            </c:dLbl>
            <c:dLbl>
              <c:idx val="7"/>
              <c:tx>
                <c:rich>
                  <a:bodyPr/>
                  <a:lstStyle/>
                  <a:p>
                    <a:fld id="{0F4A888B-8AB0-4B8A-86C4-0E0FEFF4AE0A}" type="CELLRANGE">
                      <a:rPr lang="zh-CN" altLang="en-US"/>
                      <a:pPr/>
                      <a:t>[CELLRANGE]</a:t>
                    </a:fld>
                    <a:endParaRPr lang="zh-CN" alt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D14E-46C7-B4BA-F758672847B7}"/>
                </c:ext>
              </c:extLst>
            </c:dLbl>
            <c:dLbl>
              <c:idx val="8"/>
              <c:tx>
                <c:rich>
                  <a:bodyPr/>
                  <a:lstStyle/>
                  <a:p>
                    <a:fld id="{E1190F32-6567-443B-94BF-025F31BA9473}" type="CELLRANGE">
                      <a:rPr lang="zh-CN" altLang="en-US"/>
                      <a:pPr/>
                      <a:t>[CELLRANGE]</a:t>
                    </a:fld>
                    <a:endParaRPr lang="zh-CN" alt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14E-46C7-B4BA-F758672847B7}"/>
                </c:ext>
              </c:extLst>
            </c:dLbl>
            <c:dLbl>
              <c:idx val="9"/>
              <c:tx>
                <c:rich>
                  <a:bodyPr/>
                  <a:lstStyle/>
                  <a:p>
                    <a:fld id="{EC7AC1E4-EF9B-4BBF-AA6D-81DE3053D6E9}" type="CELLRANGE">
                      <a:rPr lang="zh-CN" altLang="en-US"/>
                      <a:pPr/>
                      <a:t>[CELLRANGE]</a:t>
                    </a:fld>
                    <a:endParaRPr lang="zh-CN" alt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D14E-46C7-B4BA-F758672847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'杠铃图（2~3组）'!$A$3:$A$12</c:f>
              <c:strCache>
                <c:ptCount val="10"/>
                <c:pt idx="0">
                  <c:v>Denmark</c:v>
                </c:pt>
                <c:pt idx="1">
                  <c:v>Germany</c:v>
                </c:pt>
                <c:pt idx="2">
                  <c:v>Britain</c:v>
                </c:pt>
                <c:pt idx="3">
                  <c:v>Japan</c:v>
                </c:pt>
                <c:pt idx="4">
                  <c:v>China⬆️</c:v>
                </c:pt>
                <c:pt idx="5">
                  <c:v>United States</c:v>
                </c:pt>
                <c:pt idx="6">
                  <c:v>France</c:v>
                </c:pt>
                <c:pt idx="7">
                  <c:v>OECD average</c:v>
                </c:pt>
                <c:pt idx="8">
                  <c:v>South Korea</c:v>
                </c:pt>
                <c:pt idx="9">
                  <c:v>Italy</c:v>
                </c:pt>
              </c:strCache>
            </c:strRef>
          </c:cat>
          <c:val>
            <c:numRef>
              <c:f>'杠铃图（2~3组）'!$I$3:$I$12</c:f>
              <c:numCache>
                <c:formatCode>General</c:formatCode>
                <c:ptCount val="10"/>
                <c:pt idx="0">
                  <c:v>-13</c:v>
                </c:pt>
                <c:pt idx="1">
                  <c:v>-13</c:v>
                </c:pt>
                <c:pt idx="2">
                  <c:v>-13</c:v>
                </c:pt>
                <c:pt idx="3">
                  <c:v>-13</c:v>
                </c:pt>
                <c:pt idx="4">
                  <c:v>-13</c:v>
                </c:pt>
                <c:pt idx="5">
                  <c:v>-13</c:v>
                </c:pt>
                <c:pt idx="6">
                  <c:v>-13</c:v>
                </c:pt>
                <c:pt idx="7">
                  <c:v>-13</c:v>
                </c:pt>
                <c:pt idx="8">
                  <c:v>-13</c:v>
                </c:pt>
                <c:pt idx="9">
                  <c:v>-13</c:v>
                </c:pt>
              </c:numCache>
            </c:numRef>
          </c:val>
          <c:extLst>
            <c:ext xmlns:c15="http://schemas.microsoft.com/office/drawing/2012/chart" uri="{02D57815-91ED-43cb-92C2-25804820EDAC}">
              <c15:datalabelsRange>
                <c15:f>'杠铃图（2~3组）'!$A$3:$A$12</c15:f>
                <c15:dlblRangeCache>
                  <c:ptCount val="10"/>
                  <c:pt idx="0">
                    <c:v>Denmark</c:v>
                  </c:pt>
                  <c:pt idx="1">
                    <c:v>Germany</c:v>
                  </c:pt>
                  <c:pt idx="2">
                    <c:v>Britain</c:v>
                  </c:pt>
                  <c:pt idx="3">
                    <c:v>Japan</c:v>
                  </c:pt>
                  <c:pt idx="4">
                    <c:v>China⬆️</c:v>
                  </c:pt>
                  <c:pt idx="5">
                    <c:v>United States</c:v>
                  </c:pt>
                  <c:pt idx="6">
                    <c:v>France</c:v>
                  </c:pt>
                  <c:pt idx="7">
                    <c:v>OECD average</c:v>
                  </c:pt>
                  <c:pt idx="8">
                    <c:v>South Korea</c:v>
                  </c:pt>
                  <c:pt idx="9">
                    <c:v>Italy</c:v>
                  </c:pt>
                </c15:dlblRangeCache>
              </c15:datalabelsRange>
            </c:ext>
            <c:ext xmlns:c16="http://schemas.microsoft.com/office/drawing/2014/chart" uri="{C3380CC4-5D6E-409C-BE32-E72D297353CC}">
              <c16:uniqueId val="{00000003-D14E-46C7-B4BA-F758672847B7}"/>
            </c:ext>
          </c:extLst>
        </c:ser>
        <c:dLbls>
          <c:showLegendKey val="0"/>
          <c:showVal val="0"/>
          <c:showCatName val="0"/>
          <c:showSerName val="0"/>
          <c:showPercent val="0"/>
          <c:showBubbleSize val="0"/>
        </c:dLbls>
        <c:gapWidth val="500"/>
        <c:overlap val="100"/>
        <c:axId val="840840176"/>
        <c:axId val="768789776"/>
      </c:barChart>
      <c:scatterChart>
        <c:scatterStyle val="lineMarker"/>
        <c:varyColors val="0"/>
        <c:ser>
          <c:idx val="5"/>
          <c:order val="0"/>
          <c:tx>
            <c:strRef>
              <c:f>'杠铃图（2~3组）'!$C$2</c:f>
              <c:strCache>
                <c:ptCount val="1"/>
                <c:pt idx="0">
                  <c:v>2017</c:v>
                </c:pt>
              </c:strCache>
            </c:strRef>
          </c:tx>
          <c:spPr>
            <a:ln w="25400" cap="rnd">
              <a:noFill/>
              <a:round/>
            </a:ln>
            <a:effectLst/>
          </c:spPr>
          <c:marker>
            <c:symbol val="circle"/>
            <c:size val="9"/>
            <c:spPr>
              <a:solidFill>
                <a:srgbClr val="2C3E50"/>
              </a:solidFill>
              <a:ln w="9525">
                <a:noFill/>
              </a:ln>
              <a:effectLst/>
            </c:spPr>
          </c:marker>
          <c:xVal>
            <c:numRef>
              <c:f>'杠铃图（2~3组）'!$C$3:$C$12</c:f>
              <c:numCache>
                <c:formatCode>General</c:formatCode>
                <c:ptCount val="10"/>
                <c:pt idx="0">
                  <c:v>75</c:v>
                </c:pt>
                <c:pt idx="1">
                  <c:v>73</c:v>
                </c:pt>
                <c:pt idx="2">
                  <c:v>72</c:v>
                </c:pt>
                <c:pt idx="3">
                  <c:v>69</c:v>
                </c:pt>
                <c:pt idx="4">
                  <c:v>68</c:v>
                </c:pt>
                <c:pt idx="5">
                  <c:v>67</c:v>
                </c:pt>
                <c:pt idx="6">
                  <c:v>67</c:v>
                </c:pt>
                <c:pt idx="7">
                  <c:v>64</c:v>
                </c:pt>
                <c:pt idx="8">
                  <c:v>59</c:v>
                </c:pt>
                <c:pt idx="9">
                  <c:v>55</c:v>
                </c:pt>
              </c:numCache>
            </c:numRef>
          </c:xVal>
          <c:yVal>
            <c:numRef>
              <c:f>'杠铃图（2~3组）'!$E$3:$E$12</c:f>
              <c:numCache>
                <c:formatCode>General</c:formatCode>
                <c:ptCount val="10"/>
                <c:pt idx="0">
                  <c:v>0.5</c:v>
                </c:pt>
                <c:pt idx="1">
                  <c:v>1.5</c:v>
                </c:pt>
                <c:pt idx="2">
                  <c:v>2.5</c:v>
                </c:pt>
                <c:pt idx="3">
                  <c:v>3.5</c:v>
                </c:pt>
                <c:pt idx="4">
                  <c:v>4.5</c:v>
                </c:pt>
                <c:pt idx="5">
                  <c:v>5.5</c:v>
                </c:pt>
                <c:pt idx="6">
                  <c:v>6.5</c:v>
                </c:pt>
                <c:pt idx="7">
                  <c:v>7.5</c:v>
                </c:pt>
                <c:pt idx="8">
                  <c:v>8.5</c:v>
                </c:pt>
                <c:pt idx="9">
                  <c:v>9.5</c:v>
                </c:pt>
              </c:numCache>
            </c:numRef>
          </c:yVal>
          <c:smooth val="0"/>
          <c:extLst>
            <c:ext xmlns:c16="http://schemas.microsoft.com/office/drawing/2014/chart" uri="{C3380CC4-5D6E-409C-BE32-E72D297353CC}">
              <c16:uniqueId val="{00000001-14EB-44AA-A0D7-5A6743777FF2}"/>
            </c:ext>
          </c:extLst>
        </c:ser>
        <c:ser>
          <c:idx val="4"/>
          <c:order val="1"/>
          <c:tx>
            <c:strRef>
              <c:f>'杠铃图（2~3组）'!$B$2</c:f>
              <c:strCache>
                <c:ptCount val="1"/>
                <c:pt idx="0">
                  <c:v>1970+</c:v>
                </c:pt>
              </c:strCache>
            </c:strRef>
          </c:tx>
          <c:spPr>
            <a:ln w="25400" cap="rnd">
              <a:noFill/>
              <a:round/>
            </a:ln>
            <a:effectLst/>
          </c:spPr>
          <c:marker>
            <c:symbol val="circle"/>
            <c:size val="9"/>
            <c:spPr>
              <a:solidFill>
                <a:srgbClr val="7F8C8D"/>
              </a:solidFill>
              <a:ln w="9525">
                <a:noFill/>
              </a:ln>
              <a:effectLst/>
            </c:spPr>
          </c:marker>
          <c:xVal>
            <c:numRef>
              <c:f>'杠铃图（2~3组）'!$B$3:$B$12</c:f>
              <c:numCache>
                <c:formatCode>General</c:formatCode>
                <c:ptCount val="10"/>
                <c:pt idx="0">
                  <c:v>71</c:v>
                </c:pt>
                <c:pt idx="1">
                  <c:v>46</c:v>
                </c:pt>
                <c:pt idx="2">
                  <c:v>62</c:v>
                </c:pt>
                <c:pt idx="3">
                  <c:v>52</c:v>
                </c:pt>
                <c:pt idx="4">
                  <c:v>79</c:v>
                </c:pt>
                <c:pt idx="5">
                  <c:v>47</c:v>
                </c:pt>
                <c:pt idx="6">
                  <c:v>46</c:v>
                </c:pt>
                <c:pt idx="7">
                  <c:v>46</c:v>
                </c:pt>
                <c:pt idx="8">
                  <c:v>44</c:v>
                </c:pt>
                <c:pt idx="9">
                  <c:v>27</c:v>
                </c:pt>
              </c:numCache>
            </c:numRef>
          </c:xVal>
          <c:yVal>
            <c:numRef>
              <c:f>'杠铃图（2~3组）'!$E$3:$E$12</c:f>
              <c:numCache>
                <c:formatCode>General</c:formatCode>
                <c:ptCount val="10"/>
                <c:pt idx="0">
                  <c:v>0.5</c:v>
                </c:pt>
                <c:pt idx="1">
                  <c:v>1.5</c:v>
                </c:pt>
                <c:pt idx="2">
                  <c:v>2.5</c:v>
                </c:pt>
                <c:pt idx="3">
                  <c:v>3.5</c:v>
                </c:pt>
                <c:pt idx="4">
                  <c:v>4.5</c:v>
                </c:pt>
                <c:pt idx="5">
                  <c:v>5.5</c:v>
                </c:pt>
                <c:pt idx="6">
                  <c:v>6.5</c:v>
                </c:pt>
                <c:pt idx="7">
                  <c:v>7.5</c:v>
                </c:pt>
                <c:pt idx="8">
                  <c:v>8.5</c:v>
                </c:pt>
                <c:pt idx="9">
                  <c:v>9.5</c:v>
                </c:pt>
              </c:numCache>
            </c:numRef>
          </c:yVal>
          <c:smooth val="0"/>
          <c:extLst>
            <c:ext xmlns:c16="http://schemas.microsoft.com/office/drawing/2014/chart" uri="{C3380CC4-5D6E-409C-BE32-E72D297353CC}">
              <c16:uniqueId val="{00000000-14EB-44AA-A0D7-5A6743777FF2}"/>
            </c:ext>
          </c:extLst>
        </c:ser>
        <c:dLbls>
          <c:showLegendKey val="0"/>
          <c:showVal val="0"/>
          <c:showCatName val="0"/>
          <c:showSerName val="0"/>
          <c:showPercent val="0"/>
          <c:showBubbleSize val="0"/>
        </c:dLbls>
        <c:axId val="999477791"/>
        <c:axId val="999479711"/>
      </c:scatterChart>
      <c:valAx>
        <c:axId val="99947779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999479711"/>
        <c:crosses val="autoZero"/>
        <c:crossBetween val="midCat"/>
      </c:valAx>
      <c:valAx>
        <c:axId val="999479711"/>
        <c:scaling>
          <c:orientation val="minMax"/>
          <c:max val="10"/>
          <c:min val="0"/>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999477791"/>
        <c:crosses val="autoZero"/>
        <c:crossBetween val="midCat"/>
        <c:majorUnit val="20"/>
      </c:valAx>
      <c:valAx>
        <c:axId val="768789776"/>
        <c:scaling>
          <c:orientation val="minMax"/>
          <c:max val="80"/>
          <c:min val="20"/>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40840176"/>
        <c:crosses val="max"/>
        <c:crossBetween val="between"/>
        <c:majorUnit val="20"/>
      </c:valAx>
      <c:catAx>
        <c:axId val="840840176"/>
        <c:scaling>
          <c:orientation val="minMax"/>
        </c:scaling>
        <c:delete val="1"/>
        <c:axPos val="r"/>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768789776"/>
        <c:crosses val="max"/>
        <c:auto val="1"/>
        <c:lblAlgn val="ctr"/>
        <c:lblOffset val="100"/>
        <c:noMultiLvlLbl val="0"/>
      </c:catAx>
      <c:spPr>
        <a:noFill/>
        <a:ln>
          <a:noFill/>
        </a:ln>
        <a:effectLst/>
      </c:spPr>
    </c:plotArea>
    <c:legend>
      <c:legendPos val="r"/>
      <c:legendEntry>
        <c:idx val="0"/>
        <c:delete val="1"/>
      </c:legendEntry>
      <c:legendEntry>
        <c:idx val="1"/>
        <c:delete val="1"/>
      </c:legendEntry>
      <c:legendEntry>
        <c:idx val="2"/>
        <c:delete val="1"/>
      </c:legendEntry>
      <c:legendEntry>
        <c:idx val="3"/>
        <c:delete val="1"/>
      </c:legendEntry>
      <c:layout>
        <c:manualLayout>
          <c:xMode val="edge"/>
          <c:yMode val="edge"/>
          <c:x val="0.63979486605966696"/>
          <c:y val="8.581058915742E-2"/>
          <c:w val="0.28609560514835003"/>
          <c:h val="8.61420801639241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5F2"/>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314739</xdr:colOff>
      <xdr:row>0</xdr:row>
      <xdr:rowOff>48488</xdr:rowOff>
    </xdr:from>
    <xdr:to>
      <xdr:col>14</xdr:col>
      <xdr:colOff>513522</xdr:colOff>
      <xdr:row>22</xdr:row>
      <xdr:rowOff>121479</xdr:rowOff>
    </xdr:to>
    <xdr:graphicFrame macro="">
      <xdr:nvGraphicFramePr>
        <xdr:cNvPr id="2" name="图表 1">
          <a:extLst>
            <a:ext uri="{FF2B5EF4-FFF2-40B4-BE49-F238E27FC236}">
              <a16:creationId xmlns:a16="http://schemas.microsoft.com/office/drawing/2014/main" id="{387B2C88-C249-186F-47B4-FC08DBE499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31750</xdr:colOff>
      <xdr:row>0</xdr:row>
      <xdr:rowOff>57150</xdr:rowOff>
    </xdr:from>
    <xdr:to>
      <xdr:col>12</xdr:col>
      <xdr:colOff>565150</xdr:colOff>
      <xdr:row>23</xdr:row>
      <xdr:rowOff>104775</xdr:rowOff>
    </xdr:to>
    <xdr:graphicFrame macro="">
      <xdr:nvGraphicFramePr>
        <xdr:cNvPr id="3" name="图表 2">
          <a:extLst>
            <a:ext uri="{FF2B5EF4-FFF2-40B4-BE49-F238E27FC236}">
              <a16:creationId xmlns:a16="http://schemas.microsoft.com/office/drawing/2014/main" id="{5E458BF3-610E-83C9-2DF0-E183A89BE7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36807</xdr:colOff>
      <xdr:row>8</xdr:row>
      <xdr:rowOff>46619</xdr:rowOff>
    </xdr:from>
    <xdr:to>
      <xdr:col>9</xdr:col>
      <xdr:colOff>95928</xdr:colOff>
      <xdr:row>31</xdr:row>
      <xdr:rowOff>160664</xdr:rowOff>
    </xdr:to>
    <xdr:graphicFrame macro="">
      <xdr:nvGraphicFramePr>
        <xdr:cNvPr id="4" name="图表 3">
          <a:extLst>
            <a:ext uri="{FF2B5EF4-FFF2-40B4-BE49-F238E27FC236}">
              <a16:creationId xmlns:a16="http://schemas.microsoft.com/office/drawing/2014/main" id="{4A9E7B03-2AC8-4CB9-9ACD-9E1D9234F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64594</xdr:colOff>
      <xdr:row>0</xdr:row>
      <xdr:rowOff>146050</xdr:rowOff>
    </xdr:from>
    <xdr:to>
      <xdr:col>10</xdr:col>
      <xdr:colOff>88900</xdr:colOff>
      <xdr:row>20</xdr:row>
      <xdr:rowOff>0</xdr:rowOff>
    </xdr:to>
    <xdr:graphicFrame macro="">
      <xdr:nvGraphicFramePr>
        <xdr:cNvPr id="5" name="图表 4">
          <a:extLst>
            <a:ext uri="{FF2B5EF4-FFF2-40B4-BE49-F238E27FC236}">
              <a16:creationId xmlns:a16="http://schemas.microsoft.com/office/drawing/2014/main" id="{395B5290-43FE-59D2-6161-44AA3E2CD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577850</xdr:colOff>
      <xdr:row>0</xdr:row>
      <xdr:rowOff>177800</xdr:rowOff>
    </xdr:from>
    <xdr:to>
      <xdr:col>10</xdr:col>
      <xdr:colOff>317500</xdr:colOff>
      <xdr:row>13</xdr:row>
      <xdr:rowOff>25400</xdr:rowOff>
    </xdr:to>
    <xdr:graphicFrame macro="">
      <xdr:nvGraphicFramePr>
        <xdr:cNvPr id="5" name="图表 4">
          <a:extLst>
            <a:ext uri="{FF2B5EF4-FFF2-40B4-BE49-F238E27FC236}">
              <a16:creationId xmlns:a16="http://schemas.microsoft.com/office/drawing/2014/main" id="{38CF5A82-64CF-8724-C4A6-4CB7156BE8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387350</xdr:colOff>
      <xdr:row>1</xdr:row>
      <xdr:rowOff>82056</xdr:rowOff>
    </xdr:from>
    <xdr:to>
      <xdr:col>11</xdr:col>
      <xdr:colOff>276860</xdr:colOff>
      <xdr:row>13</xdr:row>
      <xdr:rowOff>151814</xdr:rowOff>
    </xdr:to>
    <xdr:graphicFrame macro="">
      <xdr:nvGraphicFramePr>
        <xdr:cNvPr id="6" name="图表 5">
          <a:extLst>
            <a:ext uri="{FF2B5EF4-FFF2-40B4-BE49-F238E27FC236}">
              <a16:creationId xmlns:a16="http://schemas.microsoft.com/office/drawing/2014/main" id="{58AECD04-A77E-36B3-E909-DA93FC6CD9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528320</xdr:colOff>
      <xdr:row>1</xdr:row>
      <xdr:rowOff>10151</xdr:rowOff>
    </xdr:from>
    <xdr:to>
      <xdr:col>15</xdr:col>
      <xdr:colOff>113955</xdr:colOff>
      <xdr:row>13</xdr:row>
      <xdr:rowOff>58981</xdr:rowOff>
    </xdr:to>
    <xdr:graphicFrame macro="">
      <xdr:nvGraphicFramePr>
        <xdr:cNvPr id="7" name="图表 6">
          <a:extLst>
            <a:ext uri="{FF2B5EF4-FFF2-40B4-BE49-F238E27FC236}">
              <a16:creationId xmlns:a16="http://schemas.microsoft.com/office/drawing/2014/main" id="{9DF1B4D5-95AE-9F72-1AC6-B5219D0A9F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102368</xdr:colOff>
      <xdr:row>0</xdr:row>
      <xdr:rowOff>37246</xdr:rowOff>
    </xdr:from>
    <xdr:to>
      <xdr:col>16</xdr:col>
      <xdr:colOff>129213</xdr:colOff>
      <xdr:row>22</xdr:row>
      <xdr:rowOff>54373</xdr:rowOff>
    </xdr:to>
    <xdr:graphicFrame macro="">
      <xdr:nvGraphicFramePr>
        <xdr:cNvPr id="2" name="图表 1">
          <a:extLst>
            <a:ext uri="{FF2B5EF4-FFF2-40B4-BE49-F238E27FC236}">
              <a16:creationId xmlns:a16="http://schemas.microsoft.com/office/drawing/2014/main" id="{8D7AD231-B35A-8518-0099-605AB0CDA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0.00862</cdr:x>
      <cdr:y>0.01284</cdr:y>
    </cdr:from>
    <cdr:to>
      <cdr:x>0.37644</cdr:x>
      <cdr:y>0.15472</cdr:y>
    </cdr:to>
    <cdr:sp macro="" textlink="">
      <cdr:nvSpPr>
        <cdr:cNvPr id="2" name="矩形 1">
          <a:extLst xmlns:a="http://schemas.openxmlformats.org/drawingml/2006/main">
            <a:ext uri="{FF2B5EF4-FFF2-40B4-BE49-F238E27FC236}">
              <a16:creationId xmlns:a16="http://schemas.microsoft.com/office/drawing/2014/main" id="{37E24B6B-8662-3E7B-75CE-FCEAA3DF5FD3}"/>
            </a:ext>
          </a:extLst>
        </cdr:cNvPr>
        <cdr:cNvSpPr/>
      </cdr:nvSpPr>
      <cdr:spPr>
        <a:xfrm xmlns:a="http://schemas.openxmlformats.org/drawingml/2006/main">
          <a:off x="39990" y="51495"/>
          <a:ext cx="1706118" cy="5691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ltLang="zh-CN" sz="1400" b="1" kern="1200">
              <a:solidFill>
                <a:srgbClr val="011526"/>
              </a:solidFill>
            </a:rPr>
            <a:t>The new normal</a:t>
          </a:r>
          <a:endParaRPr lang="zh-CN" altLang="en-US" sz="1400" b="1" kern="1200">
            <a:solidFill>
              <a:srgbClr val="011526"/>
            </a:solidFill>
          </a:endParaRPr>
        </a:p>
      </cdr:txBody>
    </cdr:sp>
  </cdr:relSizeAnchor>
  <cdr:relSizeAnchor xmlns:cdr="http://schemas.openxmlformats.org/drawingml/2006/chartDrawing">
    <cdr:from>
      <cdr:x>0.0101</cdr:x>
      <cdr:y>0.06312</cdr:y>
    </cdr:from>
    <cdr:to>
      <cdr:x>0.37791</cdr:x>
      <cdr:y>0.20501</cdr:y>
    </cdr:to>
    <cdr:sp macro="" textlink="">
      <cdr:nvSpPr>
        <cdr:cNvPr id="3" name="矩形 2">
          <a:extLst xmlns:a="http://schemas.openxmlformats.org/drawingml/2006/main">
            <a:ext uri="{FF2B5EF4-FFF2-40B4-BE49-F238E27FC236}">
              <a16:creationId xmlns:a16="http://schemas.microsoft.com/office/drawing/2014/main" id="{98E8A0A8-AD3E-C226-1704-84BA668818D3}"/>
            </a:ext>
          </a:extLst>
        </cdr:cNvPr>
        <cdr:cNvSpPr/>
      </cdr:nvSpPr>
      <cdr:spPr>
        <a:xfrm xmlns:a="http://schemas.openxmlformats.org/drawingml/2006/main">
          <a:off x="46831" y="253206"/>
          <a:ext cx="1706118" cy="5691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zh-CN" altLang="en-US" sz="1400" kern="1200">
            <a:solidFill>
              <a:srgbClr val="011526"/>
            </a:solidFill>
          </a:endParaRPr>
        </a:p>
      </cdr:txBody>
    </cdr:sp>
  </cdr:relSizeAnchor>
  <cdr:relSizeAnchor xmlns:cdr="http://schemas.openxmlformats.org/drawingml/2006/chartDrawing">
    <cdr:from>
      <cdr:x>0.00178</cdr:x>
      <cdr:y>0.07516</cdr:y>
    </cdr:from>
    <cdr:to>
      <cdr:x>0.71953</cdr:x>
      <cdr:y>0.18242</cdr:y>
    </cdr:to>
    <cdr:sp macro="" textlink="">
      <cdr:nvSpPr>
        <cdr:cNvPr id="4" name="矩形 3">
          <a:extLst xmlns:a="http://schemas.openxmlformats.org/drawingml/2006/main">
            <a:ext uri="{FF2B5EF4-FFF2-40B4-BE49-F238E27FC236}">
              <a16:creationId xmlns:a16="http://schemas.microsoft.com/office/drawing/2014/main" id="{20D8E4F0-1722-0046-05E5-97F2FEAB1EFA}"/>
            </a:ext>
          </a:extLst>
        </cdr:cNvPr>
        <cdr:cNvSpPr/>
      </cdr:nvSpPr>
      <cdr:spPr>
        <a:xfrm xmlns:a="http://schemas.openxmlformats.org/drawingml/2006/main">
          <a:off x="8240" y="301529"/>
          <a:ext cx="3329335" cy="43028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ltLang="zh-CN" sz="1100" kern="1200">
              <a:solidFill>
                <a:srgbClr val="011526"/>
              </a:solidFill>
            </a:rPr>
            <a:t>Female labour-force participation rate</a:t>
          </a:r>
          <a:endParaRPr lang="zh-CN" altLang="en-US" sz="1100" kern="1200">
            <a:solidFill>
              <a:srgbClr val="011526"/>
            </a:solidFill>
          </a:endParaRPr>
        </a:p>
      </cdr:txBody>
    </cdr:sp>
  </cdr:relSizeAnchor>
  <cdr:relSizeAnchor xmlns:cdr="http://schemas.openxmlformats.org/drawingml/2006/chartDrawing">
    <cdr:from>
      <cdr:x>6.53224E-5</cdr:x>
      <cdr:y>0.14046</cdr:y>
    </cdr:from>
    <cdr:to>
      <cdr:x>0.36788</cdr:x>
      <cdr:y>0.28235</cdr:y>
    </cdr:to>
    <cdr:sp macro="" textlink="">
      <cdr:nvSpPr>
        <cdr:cNvPr id="5" name="矩形 4">
          <a:extLst xmlns:a="http://schemas.openxmlformats.org/drawingml/2006/main">
            <a:ext uri="{FF2B5EF4-FFF2-40B4-BE49-F238E27FC236}">
              <a16:creationId xmlns:a16="http://schemas.microsoft.com/office/drawing/2014/main" id="{4F2C6435-8AA3-591F-CC11-CADD5C6D215E}"/>
            </a:ext>
          </a:extLst>
        </cdr:cNvPr>
        <cdr:cNvSpPr/>
      </cdr:nvSpPr>
      <cdr:spPr>
        <a:xfrm xmlns:a="http://schemas.openxmlformats.org/drawingml/2006/main">
          <a:off x="303" y="563464"/>
          <a:ext cx="1706118" cy="5691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ltLang="zh-CN" sz="1100" kern="1200">
              <a:solidFill>
                <a:srgbClr val="011526"/>
              </a:solidFill>
            </a:rPr>
            <a:t>15-to 64-year-olds,%</a:t>
          </a:r>
          <a:endParaRPr lang="zh-CN" altLang="en-US" sz="1100" kern="1200">
            <a:solidFill>
              <a:srgbClr val="011526"/>
            </a:solidFill>
          </a:endParaRPr>
        </a:p>
      </cdr:txBody>
    </cdr:sp>
  </cdr:relSizeAnchor>
  <cdr:relSizeAnchor xmlns:cdr="http://schemas.openxmlformats.org/drawingml/2006/chartDrawing">
    <cdr:from>
      <cdr:x>0.59842</cdr:x>
      <cdr:y>0.93425</cdr:y>
    </cdr:from>
    <cdr:to>
      <cdr:x>1</cdr:x>
      <cdr:y>1</cdr:y>
    </cdr:to>
    <cdr:sp macro="" textlink="">
      <cdr:nvSpPr>
        <cdr:cNvPr id="6" name="矩形 5">
          <a:extLst xmlns:a="http://schemas.openxmlformats.org/drawingml/2006/main">
            <a:ext uri="{FF2B5EF4-FFF2-40B4-BE49-F238E27FC236}">
              <a16:creationId xmlns:a16="http://schemas.microsoft.com/office/drawing/2014/main" id="{1B354CBC-14C8-D581-42C1-9E511EDD40E2}"/>
            </a:ext>
          </a:extLst>
        </cdr:cNvPr>
        <cdr:cNvSpPr/>
      </cdr:nvSpPr>
      <cdr:spPr>
        <a:xfrm xmlns:a="http://schemas.openxmlformats.org/drawingml/2006/main">
          <a:off x="2775790" y="3747328"/>
          <a:ext cx="1862743" cy="26374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ltLang="zh-CN" sz="1050" i="1" kern="1200">
              <a:solidFill>
                <a:srgbClr val="4A808C"/>
              </a:solidFill>
            </a:rPr>
            <a:t>*Or closet thereafter Estimates</a:t>
          </a:r>
          <a:endParaRPr lang="zh-CN" altLang="en-US" sz="1050" i="1" kern="1200">
            <a:solidFill>
              <a:srgbClr val="4A808C"/>
            </a:solidFill>
          </a:endParaRPr>
        </a:p>
      </cdr:txBody>
    </cdr:sp>
  </cdr:relSizeAnchor>
</c:userShape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48836-54BB-428B-B3FF-3933FA6A07DE}">
  <dimension ref="A1:G16"/>
  <sheetViews>
    <sheetView showGridLines="0" tabSelected="1" zoomScale="130" zoomScaleNormal="130" workbookViewId="0">
      <selection activeCell="A16" sqref="A16:F16"/>
    </sheetView>
  </sheetViews>
  <sheetFormatPr defaultRowHeight="14" x14ac:dyDescent="0.3"/>
  <cols>
    <col min="1" max="1" width="14.9140625" bestFit="1" customWidth="1"/>
    <col min="6" max="6" width="11.9140625" bestFit="1" customWidth="1"/>
    <col min="7" max="7" width="11" bestFit="1" customWidth="1"/>
  </cols>
  <sheetData>
    <row r="1" spans="1:7" x14ac:dyDescent="0.3">
      <c r="A1" s="18" t="s">
        <v>6</v>
      </c>
      <c r="B1" s="18"/>
      <c r="C1" s="18"/>
      <c r="D1" s="18"/>
      <c r="E1" s="18"/>
    </row>
    <row r="2" spans="1:7" x14ac:dyDescent="0.3">
      <c r="A2" s="30" t="s">
        <v>8</v>
      </c>
      <c r="B2" s="31" t="s">
        <v>9</v>
      </c>
      <c r="C2" s="32" t="s">
        <v>4</v>
      </c>
      <c r="D2" s="32" t="s">
        <v>10</v>
      </c>
      <c r="E2" s="32" t="s">
        <v>5</v>
      </c>
    </row>
    <row r="3" spans="1:7" ht="29.5" customHeight="1" x14ac:dyDescent="0.3">
      <c r="A3" s="2" t="s">
        <v>0</v>
      </c>
      <c r="B3" s="3">
        <v>-120</v>
      </c>
      <c r="C3" s="3">
        <v>195</v>
      </c>
      <c r="D3" s="3">
        <v>-500</v>
      </c>
      <c r="E3" s="3">
        <f>D3-B3</f>
        <v>-380</v>
      </c>
    </row>
    <row r="4" spans="1:7" x14ac:dyDescent="0.3">
      <c r="A4" s="3" t="s">
        <v>1</v>
      </c>
      <c r="B4" s="3">
        <v>-260</v>
      </c>
      <c r="C4" s="3">
        <v>3</v>
      </c>
      <c r="D4" s="3">
        <f>D3</f>
        <v>-500</v>
      </c>
      <c r="E4" s="3">
        <f>D4-B4</f>
        <v>-240</v>
      </c>
    </row>
    <row r="5" spans="1:7" x14ac:dyDescent="0.3">
      <c r="A5" s="3" t="s">
        <v>2</v>
      </c>
      <c r="B5" s="3">
        <v>-10</v>
      </c>
      <c r="C5" s="3">
        <v>0</v>
      </c>
      <c r="D5" s="3">
        <f>D4</f>
        <v>-500</v>
      </c>
      <c r="E5" s="3">
        <f>D5-B5</f>
        <v>-490</v>
      </c>
    </row>
    <row r="6" spans="1:7" x14ac:dyDescent="0.3">
      <c r="A6" s="3" t="s">
        <v>3</v>
      </c>
      <c r="B6" s="3">
        <v>-60</v>
      </c>
      <c r="C6" s="3">
        <v>3</v>
      </c>
      <c r="D6" s="3">
        <f>D5</f>
        <v>-500</v>
      </c>
      <c r="E6" s="3">
        <f>D6-B6</f>
        <v>-440</v>
      </c>
    </row>
    <row r="9" spans="1:7" x14ac:dyDescent="0.3">
      <c r="A9" s="18" t="s">
        <v>7</v>
      </c>
      <c r="B9" s="18"/>
      <c r="C9" s="18"/>
      <c r="D9" s="18"/>
      <c r="E9" s="18"/>
      <c r="F9" s="18"/>
      <c r="G9" s="18"/>
    </row>
    <row r="10" spans="1:7" x14ac:dyDescent="0.3">
      <c r="A10" s="30" t="s">
        <v>8</v>
      </c>
      <c r="B10" s="31" t="s">
        <v>5</v>
      </c>
      <c r="C10" s="32" t="s">
        <v>9</v>
      </c>
      <c r="D10" s="32" t="s">
        <v>4</v>
      </c>
      <c r="E10" s="32" t="s">
        <v>10</v>
      </c>
      <c r="F10" s="30" t="s">
        <v>11</v>
      </c>
      <c r="G10" s="31" t="s">
        <v>11</v>
      </c>
    </row>
    <row r="11" spans="1:7" ht="42" x14ac:dyDescent="0.3">
      <c r="A11" s="2" t="s">
        <v>0</v>
      </c>
      <c r="B11" s="4">
        <f>VLOOKUP($A11,$A$2:$E$6,MATCH(B$10,$A$2:$E$2,0),0)</f>
        <v>-380</v>
      </c>
      <c r="C11" s="4">
        <f>VLOOKUP($A11,$A$2:$E$6,MATCH(C$10,$A$2:$E$2,0),0)</f>
        <v>-120</v>
      </c>
      <c r="D11" s="4">
        <f>VLOOKUP($A11,$A$2:$E$6,MATCH(D$10,$A$2:$E$2,0),0)</f>
        <v>195</v>
      </c>
      <c r="E11" s="4">
        <f>VLOOKUP($A11,$A$2:$E$6,MATCH(E$10,$A$2:$E$2,0),0)</f>
        <v>-500</v>
      </c>
      <c r="F11" s="4"/>
      <c r="G11" s="2" t="s">
        <v>13</v>
      </c>
    </row>
    <row r="12" spans="1:7" x14ac:dyDescent="0.3">
      <c r="A12" s="4" t="str">
        <f>A4</f>
        <v>Labour</v>
      </c>
      <c r="B12" s="4">
        <f>VLOOKUP($A12,$A$2:$E$6,MATCH(B$10,$A$2:$E$2,0),0)</f>
        <v>-240</v>
      </c>
      <c r="C12" s="4">
        <f t="shared" ref="C12:E14" si="0">VLOOKUP($A12,$A$2:$E$6,MATCH(C$10,$A$2:$E$2,0),0)</f>
        <v>-260</v>
      </c>
      <c r="D12" s="4">
        <f t="shared" si="0"/>
        <v>3</v>
      </c>
      <c r="E12" s="4">
        <f t="shared" si="0"/>
        <v>-500</v>
      </c>
      <c r="F12" s="4" t="s">
        <v>12</v>
      </c>
      <c r="G12" s="3" t="s">
        <v>1</v>
      </c>
    </row>
    <row r="13" spans="1:7" x14ac:dyDescent="0.3">
      <c r="A13" s="4" t="str">
        <f>A5</f>
        <v>DUP</v>
      </c>
      <c r="B13" s="4">
        <f>VLOOKUP($A13,$A$2:$E$6,MATCH(B$10,$A$2:$E$2,0),0)</f>
        <v>-490</v>
      </c>
      <c r="C13" s="4">
        <f t="shared" si="0"/>
        <v>-10</v>
      </c>
      <c r="D13" s="4">
        <f t="shared" si="0"/>
        <v>0</v>
      </c>
      <c r="E13" s="4">
        <f t="shared" si="0"/>
        <v>-500</v>
      </c>
      <c r="F13" s="4"/>
      <c r="G13" s="3" t="s">
        <v>2</v>
      </c>
    </row>
    <row r="14" spans="1:7" x14ac:dyDescent="0.3">
      <c r="A14" s="4" t="str">
        <f>A6</f>
        <v>Other</v>
      </c>
      <c r="B14" s="4">
        <f>VLOOKUP($A14,$A$2:$E$6,MATCH(B$10,$A$2:$E$2,0),0)</f>
        <v>-440</v>
      </c>
      <c r="C14" s="4">
        <f t="shared" si="0"/>
        <v>-60</v>
      </c>
      <c r="D14" s="4">
        <f t="shared" si="0"/>
        <v>3</v>
      </c>
      <c r="E14" s="4">
        <f t="shared" si="0"/>
        <v>-500</v>
      </c>
      <c r="F14" s="4" t="s">
        <v>12</v>
      </c>
      <c r="G14" s="3" t="s">
        <v>3</v>
      </c>
    </row>
    <row r="16" spans="1:7" x14ac:dyDescent="0.3">
      <c r="A16" s="19" t="s">
        <v>83</v>
      </c>
      <c r="B16" s="20"/>
      <c r="C16" s="20"/>
      <c r="D16" s="20"/>
      <c r="E16" s="20"/>
      <c r="F16" s="20"/>
    </row>
  </sheetData>
  <mergeCells count="3">
    <mergeCell ref="A1:E1"/>
    <mergeCell ref="A9:G9"/>
    <mergeCell ref="A16:F16"/>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CAAD0-8BD8-4A89-A3A9-134C8EF3AF83}">
  <dimension ref="A1:F11"/>
  <sheetViews>
    <sheetView showGridLines="0" zoomScale="130" zoomScaleNormal="130" workbookViewId="0">
      <selection activeCell="A11" sqref="A11:F11"/>
    </sheetView>
  </sheetViews>
  <sheetFormatPr defaultRowHeight="14" x14ac:dyDescent="0.3"/>
  <cols>
    <col min="1" max="6" width="16.1640625" customWidth="1"/>
  </cols>
  <sheetData>
    <row r="1" spans="1:6" ht="18" thickBot="1" x14ac:dyDescent="0.35">
      <c r="A1" s="8" t="s">
        <v>26</v>
      </c>
      <c r="B1" s="6"/>
      <c r="C1" s="6"/>
      <c r="D1" s="6"/>
      <c r="E1" s="6"/>
      <c r="F1" s="6"/>
    </row>
    <row r="2" spans="1:6" ht="14.5" thickTop="1" x14ac:dyDescent="0.3">
      <c r="A2" s="5" t="s">
        <v>14</v>
      </c>
      <c r="B2" s="1"/>
      <c r="C2" s="1"/>
      <c r="D2" s="7" t="s">
        <v>25</v>
      </c>
      <c r="E2" s="1"/>
      <c r="F2" s="1"/>
    </row>
    <row r="3" spans="1:6" x14ac:dyDescent="0.3">
      <c r="A3" s="30" t="s">
        <v>15</v>
      </c>
      <c r="B3" s="31" t="s">
        <v>16</v>
      </c>
      <c r="C3" s="32" t="s">
        <v>17</v>
      </c>
      <c r="D3" s="32" t="s">
        <v>16</v>
      </c>
      <c r="E3" s="32" t="s">
        <v>17</v>
      </c>
      <c r="F3" s="30" t="s">
        <v>18</v>
      </c>
    </row>
    <row r="4" spans="1:6" x14ac:dyDescent="0.3">
      <c r="A4" s="3" t="s">
        <v>19</v>
      </c>
      <c r="B4" s="3">
        <v>8</v>
      </c>
      <c r="C4" s="3">
        <v>6</v>
      </c>
      <c r="D4" s="3">
        <v>6</v>
      </c>
      <c r="E4" s="3">
        <v>9</v>
      </c>
      <c r="F4" s="3">
        <v>-10</v>
      </c>
    </row>
    <row r="5" spans="1:6" x14ac:dyDescent="0.3">
      <c r="A5" s="3" t="s">
        <v>20</v>
      </c>
      <c r="B5" s="3">
        <v>4</v>
      </c>
      <c r="C5" s="3">
        <v>2</v>
      </c>
      <c r="D5" s="3">
        <v>7</v>
      </c>
      <c r="E5" s="3">
        <v>2.8</v>
      </c>
      <c r="F5" s="3">
        <v>-10</v>
      </c>
    </row>
    <row r="6" spans="1:6" x14ac:dyDescent="0.3">
      <c r="A6" s="3" t="s">
        <v>21</v>
      </c>
      <c r="B6" s="3">
        <v>4.5</v>
      </c>
      <c r="C6" s="3">
        <v>1</v>
      </c>
      <c r="D6" s="3">
        <v>7.5</v>
      </c>
      <c r="E6" s="3">
        <v>2.2999999999999998</v>
      </c>
      <c r="F6" s="3">
        <v>-10</v>
      </c>
    </row>
    <row r="7" spans="1:6" x14ac:dyDescent="0.3">
      <c r="A7" s="3" t="s">
        <v>22</v>
      </c>
      <c r="B7" s="3">
        <v>1.5</v>
      </c>
      <c r="C7" s="3">
        <v>2</v>
      </c>
      <c r="D7" s="3">
        <v>2.5</v>
      </c>
      <c r="E7" s="3">
        <v>1.6</v>
      </c>
      <c r="F7" s="3">
        <v>-10</v>
      </c>
    </row>
    <row r="8" spans="1:6" x14ac:dyDescent="0.3">
      <c r="A8" s="3" t="s">
        <v>23</v>
      </c>
      <c r="B8" s="3">
        <v>1.2</v>
      </c>
      <c r="C8" s="3">
        <v>0.5</v>
      </c>
      <c r="D8" s="3">
        <v>3</v>
      </c>
      <c r="E8" s="3">
        <v>0.5</v>
      </c>
      <c r="F8" s="3">
        <v>-10</v>
      </c>
    </row>
    <row r="9" spans="1:6" x14ac:dyDescent="0.3">
      <c r="A9" s="3" t="s">
        <v>24</v>
      </c>
      <c r="B9" s="3">
        <v>1</v>
      </c>
      <c r="C9" s="3">
        <v>0.7</v>
      </c>
      <c r="D9" s="3">
        <v>1.5</v>
      </c>
      <c r="E9" s="3">
        <v>1.5</v>
      </c>
      <c r="F9" s="3">
        <v>-10</v>
      </c>
    </row>
    <row r="11" spans="1:6" x14ac:dyDescent="0.3">
      <c r="A11" s="19" t="s">
        <v>84</v>
      </c>
      <c r="B11" s="20"/>
      <c r="C11" s="20"/>
      <c r="D11" s="20"/>
      <c r="E11" s="20"/>
      <c r="F11" s="20"/>
    </row>
  </sheetData>
  <mergeCells count="1">
    <mergeCell ref="A11:F11"/>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2EAA1-A397-457C-9072-B73EE6E26E91}">
  <dimension ref="A1:D19"/>
  <sheetViews>
    <sheetView showGridLines="0" zoomScale="160" zoomScaleNormal="160" workbookViewId="0">
      <selection activeCell="A19" sqref="A19:D19"/>
    </sheetView>
  </sheetViews>
  <sheetFormatPr defaultRowHeight="14" x14ac:dyDescent="0.3"/>
  <cols>
    <col min="1" max="1" width="18.1640625" style="9" customWidth="1"/>
    <col min="2" max="2" width="19.9140625" style="9" customWidth="1"/>
    <col min="3" max="4" width="18.1640625" style="9" customWidth="1"/>
    <col min="5" max="16384" width="8.6640625" style="9"/>
  </cols>
  <sheetData>
    <row r="1" spans="1:4" ht="14.5" thickBot="1" x14ac:dyDescent="0.35">
      <c r="A1" s="15" t="s">
        <v>87</v>
      </c>
      <c r="B1" s="16"/>
      <c r="C1" s="16"/>
      <c r="D1" s="16"/>
    </row>
    <row r="2" spans="1:4" x14ac:dyDescent="0.3">
      <c r="A2" s="10" t="s">
        <v>88</v>
      </c>
      <c r="B2" s="10" t="s">
        <v>89</v>
      </c>
      <c r="C2" s="10" t="s">
        <v>90</v>
      </c>
      <c r="D2" s="10"/>
    </row>
    <row r="3" spans="1:4" x14ac:dyDescent="0.3">
      <c r="A3" s="30" t="s">
        <v>91</v>
      </c>
      <c r="B3" s="31" t="s">
        <v>92</v>
      </c>
      <c r="C3" s="32">
        <v>2015</v>
      </c>
      <c r="D3" s="32" t="s">
        <v>93</v>
      </c>
    </row>
    <row r="4" spans="1:4" x14ac:dyDescent="0.3">
      <c r="A4" s="3">
        <v>1</v>
      </c>
      <c r="B4" s="14" t="s">
        <v>94</v>
      </c>
      <c r="C4" s="3">
        <v>26</v>
      </c>
      <c r="D4" s="3">
        <v>41</v>
      </c>
    </row>
    <row r="5" spans="1:4" x14ac:dyDescent="0.3">
      <c r="A5" s="3">
        <v>2</v>
      </c>
      <c r="B5" s="14" t="s">
        <v>95</v>
      </c>
      <c r="C5" s="3">
        <v>25</v>
      </c>
      <c r="D5" s="3">
        <v>22</v>
      </c>
    </row>
    <row r="6" spans="1:4" x14ac:dyDescent="0.3">
      <c r="A6" s="3">
        <v>3</v>
      </c>
      <c r="B6" s="14" t="s">
        <v>96</v>
      </c>
      <c r="C6" s="3">
        <v>23</v>
      </c>
      <c r="D6" s="3">
        <v>14</v>
      </c>
    </row>
    <row r="7" spans="1:4" x14ac:dyDescent="0.3">
      <c r="A7" s="3">
        <v>4</v>
      </c>
      <c r="B7" s="14" t="s">
        <v>97</v>
      </c>
      <c r="C7" s="3">
        <v>13</v>
      </c>
      <c r="D7" s="3">
        <v>13</v>
      </c>
    </row>
    <row r="8" spans="1:4" x14ac:dyDescent="0.3">
      <c r="A8" s="3">
        <v>5</v>
      </c>
      <c r="B8" s="14" t="s">
        <v>98</v>
      </c>
      <c r="C8" s="3">
        <v>12</v>
      </c>
      <c r="D8" s="3">
        <v>9</v>
      </c>
    </row>
    <row r="9" spans="1:4" x14ac:dyDescent="0.3">
      <c r="A9" s="3">
        <v>6</v>
      </c>
      <c r="B9" s="14" t="s">
        <v>99</v>
      </c>
      <c r="C9" s="3">
        <v>1</v>
      </c>
      <c r="D9" s="3">
        <v>1</v>
      </c>
    </row>
    <row r="10" spans="1:4" x14ac:dyDescent="0.3">
      <c r="A10" s="3">
        <v>7</v>
      </c>
      <c r="B10" s="14"/>
      <c r="C10" s="14"/>
      <c r="D10" s="14"/>
    </row>
    <row r="11" spans="1:4" x14ac:dyDescent="0.3">
      <c r="A11" s="3">
        <v>8</v>
      </c>
      <c r="B11" s="14"/>
      <c r="C11" s="14"/>
      <c r="D11" s="14"/>
    </row>
    <row r="13" spans="1:4" ht="14.5" thickBot="1" x14ac:dyDescent="0.35">
      <c r="A13" s="17" t="s">
        <v>100</v>
      </c>
      <c r="B13" s="17"/>
      <c r="C13" s="17"/>
      <c r="D13" s="17"/>
    </row>
    <row r="14" spans="1:4" x14ac:dyDescent="0.3">
      <c r="A14" s="9" t="s">
        <v>88</v>
      </c>
      <c r="B14" s="9" t="s">
        <v>89</v>
      </c>
      <c r="C14" s="9" t="s">
        <v>90</v>
      </c>
    </row>
    <row r="15" spans="1:4" x14ac:dyDescent="0.3">
      <c r="A15" s="30" t="s">
        <v>101</v>
      </c>
      <c r="B15" s="31" t="s">
        <v>92</v>
      </c>
      <c r="C15" s="32">
        <v>2015</v>
      </c>
      <c r="D15" s="32" t="s">
        <v>93</v>
      </c>
    </row>
    <row r="16" spans="1:4" x14ac:dyDescent="0.3">
      <c r="A16" s="3">
        <v>1</v>
      </c>
      <c r="B16" s="14" t="s">
        <v>102</v>
      </c>
      <c r="C16" s="3">
        <v>0</v>
      </c>
      <c r="D16" s="3">
        <v>0</v>
      </c>
    </row>
    <row r="17" spans="1:4" x14ac:dyDescent="0.3">
      <c r="A17" s="3">
        <v>2</v>
      </c>
      <c r="B17" s="14" t="s">
        <v>103</v>
      </c>
      <c r="C17" s="3">
        <f>MAX(C4:C9)</f>
        <v>26</v>
      </c>
      <c r="D17" s="3">
        <f>MAX(D4:D9)</f>
        <v>41</v>
      </c>
    </row>
    <row r="19" spans="1:4" x14ac:dyDescent="0.3">
      <c r="A19" s="21" t="s">
        <v>104</v>
      </c>
      <c r="B19" s="21"/>
      <c r="C19" s="21"/>
      <c r="D19" s="21"/>
    </row>
  </sheetData>
  <mergeCells count="1">
    <mergeCell ref="A19:D19"/>
  </mergeCells>
  <phoneticPr fontId="1" type="noConversion"/>
  <pageMargins left="0.7" right="0.7" top="0.75" bottom="0.75" header="0.3" footer="0.3"/>
  <ignoredErrors>
    <ignoredError sqref="C17" formulaRange="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DAF2F-FA2E-462F-B850-40C78E67FB17}">
  <sheetPr>
    <pageSetUpPr autoPageBreaks="0"/>
  </sheetPr>
  <dimension ref="A1:O15"/>
  <sheetViews>
    <sheetView showGridLines="0" topLeftCell="C1" zoomScale="130" zoomScaleNormal="130" workbookViewId="0">
      <selection activeCell="C15" sqref="C15:J15"/>
    </sheetView>
  </sheetViews>
  <sheetFormatPr defaultRowHeight="15" customHeight="1" x14ac:dyDescent="0.3"/>
  <cols>
    <col min="1" max="2" width="17.25" style="9" customWidth="1"/>
    <col min="3" max="5" width="17.58203125" style="11" customWidth="1"/>
    <col min="6" max="16384" width="8.6640625" style="9"/>
  </cols>
  <sheetData>
    <row r="1" spans="1:15" ht="15" customHeight="1" thickBot="1" x14ac:dyDescent="0.35">
      <c r="A1" s="27" t="s">
        <v>27</v>
      </c>
      <c r="B1" s="27"/>
      <c r="C1" s="36" t="s">
        <v>28</v>
      </c>
      <c r="D1" s="34" t="s">
        <v>29</v>
      </c>
      <c r="E1" s="34" t="s">
        <v>30</v>
      </c>
      <c r="F1" s="38" t="s">
        <v>27</v>
      </c>
      <c r="G1" s="39"/>
      <c r="H1" s="40" t="s">
        <v>47</v>
      </c>
      <c r="I1" s="39"/>
      <c r="J1" s="40" t="s">
        <v>48</v>
      </c>
      <c r="K1" s="39"/>
      <c r="L1" s="39"/>
      <c r="M1" s="41" t="s">
        <v>49</v>
      </c>
      <c r="N1" s="39"/>
      <c r="O1" s="39"/>
    </row>
    <row r="2" spans="1:15" ht="15" customHeight="1" x14ac:dyDescent="0.3">
      <c r="A2" s="27"/>
      <c r="B2" s="27"/>
      <c r="C2" s="37"/>
      <c r="D2" s="35"/>
      <c r="E2" s="35"/>
      <c r="F2" s="42" t="s">
        <v>41</v>
      </c>
      <c r="G2" s="43"/>
      <c r="H2" s="43"/>
      <c r="I2" s="43"/>
      <c r="J2" s="43"/>
      <c r="K2" s="43"/>
      <c r="L2" s="43"/>
      <c r="M2" s="43"/>
      <c r="N2" s="43"/>
      <c r="O2" s="43"/>
    </row>
    <row r="3" spans="1:15" ht="15" customHeight="1" x14ac:dyDescent="0.3">
      <c r="A3" s="22" t="s">
        <v>31</v>
      </c>
      <c r="B3" s="9" t="s">
        <v>32</v>
      </c>
      <c r="C3" s="33">
        <v>4.2</v>
      </c>
      <c r="D3" s="33">
        <v>96.5</v>
      </c>
      <c r="E3" s="33">
        <v>4</v>
      </c>
      <c r="F3" s="43" t="s">
        <v>42</v>
      </c>
      <c r="G3" s="43"/>
      <c r="H3" s="43"/>
      <c r="I3" s="43"/>
      <c r="J3" s="43"/>
      <c r="K3" s="43"/>
      <c r="L3" s="43"/>
      <c r="M3" s="43"/>
      <c r="N3" s="43"/>
      <c r="O3" s="43"/>
    </row>
    <row r="4" spans="1:15" ht="15" customHeight="1" x14ac:dyDescent="0.3">
      <c r="A4" s="23"/>
      <c r="B4" s="9" t="s">
        <v>33</v>
      </c>
      <c r="C4" s="33">
        <v>1.5</v>
      </c>
      <c r="D4" s="33">
        <v>59.2</v>
      </c>
      <c r="E4" s="33">
        <v>4.7</v>
      </c>
      <c r="F4" s="43" t="s">
        <v>43</v>
      </c>
      <c r="G4" s="43"/>
      <c r="H4" s="43"/>
      <c r="I4" s="43"/>
      <c r="J4" s="43"/>
      <c r="K4" s="43"/>
      <c r="L4" s="43"/>
      <c r="M4" s="43"/>
      <c r="N4" s="43"/>
      <c r="O4" s="43"/>
    </row>
    <row r="5" spans="1:15" ht="15" customHeight="1" x14ac:dyDescent="0.3">
      <c r="A5" s="23"/>
      <c r="B5" s="9" t="s">
        <v>34</v>
      </c>
      <c r="C5" s="33">
        <v>1.6</v>
      </c>
      <c r="D5" s="33">
        <v>27.5</v>
      </c>
      <c r="E5" s="33">
        <v>1.6</v>
      </c>
      <c r="F5" s="43" t="s">
        <v>44</v>
      </c>
      <c r="G5" s="43"/>
      <c r="H5" s="43"/>
      <c r="I5" s="43"/>
      <c r="J5" s="43"/>
      <c r="K5" s="43"/>
      <c r="L5" s="43"/>
      <c r="M5" s="43"/>
      <c r="N5" s="43"/>
      <c r="O5" s="43"/>
    </row>
    <row r="6" spans="1:15" ht="15" customHeight="1" x14ac:dyDescent="0.3">
      <c r="A6" s="23"/>
      <c r="B6" s="9" t="s">
        <v>35</v>
      </c>
      <c r="C6" s="33">
        <v>0.3</v>
      </c>
      <c r="D6" s="33">
        <v>23.7</v>
      </c>
      <c r="E6" s="33">
        <v>4.0999999999999996</v>
      </c>
      <c r="F6" s="42" t="s">
        <v>45</v>
      </c>
      <c r="G6" s="43"/>
      <c r="H6" s="43"/>
      <c r="I6" s="43"/>
      <c r="J6" s="43"/>
      <c r="K6" s="43"/>
      <c r="L6" s="43"/>
      <c r="M6" s="43"/>
      <c r="N6" s="43"/>
      <c r="O6" s="43"/>
    </row>
    <row r="7" spans="1:15" ht="15" customHeight="1" x14ac:dyDescent="0.3">
      <c r="A7" s="23"/>
      <c r="B7" s="10" t="s">
        <v>36</v>
      </c>
      <c r="C7" s="33">
        <v>0.01</v>
      </c>
      <c r="D7" s="33">
        <v>1.5</v>
      </c>
      <c r="E7" s="33">
        <v>-0.3</v>
      </c>
      <c r="F7" s="43" t="s">
        <v>46</v>
      </c>
      <c r="G7" s="43"/>
      <c r="H7" s="43"/>
      <c r="I7" s="43"/>
      <c r="J7" s="43"/>
      <c r="K7" s="43"/>
      <c r="L7" s="43"/>
      <c r="M7" s="43"/>
      <c r="N7" s="43"/>
      <c r="O7" s="43"/>
    </row>
    <row r="8" spans="1:15" ht="15" customHeight="1" x14ac:dyDescent="0.3">
      <c r="A8" s="25"/>
      <c r="C8" s="12"/>
      <c r="D8" s="12"/>
      <c r="E8" s="12"/>
      <c r="F8" s="43"/>
      <c r="G8" s="43"/>
      <c r="H8" s="43"/>
      <c r="I8" s="43"/>
      <c r="J8" s="43"/>
      <c r="K8" s="43"/>
      <c r="L8" s="43"/>
      <c r="M8" s="43"/>
      <c r="N8" s="43"/>
      <c r="O8" s="43"/>
    </row>
    <row r="9" spans="1:15" ht="15" customHeight="1" x14ac:dyDescent="0.3">
      <c r="A9" s="25"/>
      <c r="C9" s="12"/>
      <c r="D9" s="12"/>
      <c r="E9" s="12"/>
      <c r="F9" s="42" t="s">
        <v>3</v>
      </c>
      <c r="G9" s="43"/>
      <c r="H9" s="43"/>
      <c r="I9" s="43"/>
      <c r="J9" s="43"/>
      <c r="K9" s="43"/>
      <c r="L9" s="43"/>
      <c r="M9" s="43"/>
      <c r="N9" s="43"/>
      <c r="O9" s="43"/>
    </row>
    <row r="10" spans="1:15" ht="15" customHeight="1" x14ac:dyDescent="0.3">
      <c r="A10" s="26" t="s">
        <v>3</v>
      </c>
      <c r="B10" s="9" t="s">
        <v>37</v>
      </c>
      <c r="C10" s="33">
        <v>2.8</v>
      </c>
      <c r="D10" s="33">
        <v>106.7</v>
      </c>
      <c r="E10" s="33">
        <v>7.5</v>
      </c>
      <c r="F10" s="43" t="s">
        <v>50</v>
      </c>
      <c r="G10" s="43"/>
      <c r="H10" s="43"/>
      <c r="I10" s="43"/>
      <c r="J10" s="43"/>
      <c r="K10" s="43"/>
      <c r="L10" s="43"/>
      <c r="M10" s="43"/>
      <c r="N10" s="43"/>
      <c r="O10" s="43"/>
    </row>
    <row r="11" spans="1:15" ht="15" customHeight="1" x14ac:dyDescent="0.3">
      <c r="A11" s="26"/>
      <c r="B11" s="9" t="s">
        <v>38</v>
      </c>
      <c r="C11" s="33">
        <v>2.5</v>
      </c>
      <c r="D11" s="33">
        <v>85.8</v>
      </c>
      <c r="E11" s="33">
        <v>6.2</v>
      </c>
      <c r="F11" s="43" t="s">
        <v>51</v>
      </c>
      <c r="G11" s="43"/>
      <c r="H11" s="43"/>
      <c r="I11" s="43"/>
      <c r="J11" s="43"/>
      <c r="K11" s="43"/>
      <c r="L11" s="43"/>
      <c r="M11" s="43"/>
      <c r="N11" s="43"/>
      <c r="O11" s="43"/>
    </row>
    <row r="12" spans="1:15" ht="15" customHeight="1" x14ac:dyDescent="0.3">
      <c r="A12" s="26"/>
      <c r="B12" s="9" t="s">
        <v>39</v>
      </c>
      <c r="C12" s="33">
        <v>1.3</v>
      </c>
      <c r="D12" s="33">
        <v>15.7</v>
      </c>
      <c r="E12" s="33">
        <v>-0.3</v>
      </c>
      <c r="F12" s="43" t="s">
        <v>52</v>
      </c>
      <c r="G12" s="43"/>
      <c r="H12" s="43"/>
      <c r="I12" s="43"/>
      <c r="J12" s="43"/>
      <c r="K12" s="43"/>
      <c r="L12" s="43"/>
      <c r="M12" s="43"/>
      <c r="N12" s="43"/>
      <c r="O12" s="43"/>
    </row>
    <row r="13" spans="1:15" ht="15" customHeight="1" thickBot="1" x14ac:dyDescent="0.35">
      <c r="A13" s="26"/>
      <c r="B13" s="9" t="s">
        <v>40</v>
      </c>
      <c r="C13" s="33">
        <v>0.01</v>
      </c>
      <c r="D13" s="33">
        <v>3.4</v>
      </c>
      <c r="E13" s="33">
        <v>0.8</v>
      </c>
      <c r="F13" s="39" t="s">
        <v>53</v>
      </c>
      <c r="G13" s="39"/>
      <c r="H13" s="39"/>
      <c r="I13" s="39"/>
      <c r="J13" s="39"/>
      <c r="K13" s="39"/>
      <c r="L13" s="39"/>
      <c r="M13" s="39"/>
      <c r="N13" s="39"/>
      <c r="O13" s="39"/>
    </row>
    <row r="15" spans="1:15" ht="15" customHeight="1" x14ac:dyDescent="0.3">
      <c r="C15" s="24" t="s">
        <v>85</v>
      </c>
      <c r="D15" s="24"/>
      <c r="E15" s="24"/>
      <c r="F15" s="24"/>
      <c r="G15" s="24"/>
      <c r="H15" s="24"/>
      <c r="I15" s="24"/>
      <c r="J15" s="24"/>
    </row>
  </sheetData>
  <mergeCells count="8">
    <mergeCell ref="E1:E2"/>
    <mergeCell ref="A3:A7"/>
    <mergeCell ref="C15:J15"/>
    <mergeCell ref="A8:A9"/>
    <mergeCell ref="A10:A13"/>
    <mergeCell ref="A1:B2"/>
    <mergeCell ref="C1:C2"/>
    <mergeCell ref="D1:D2"/>
  </mergeCells>
  <phoneticPr fontId="1"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9532F-E04A-46F2-B296-B5C7987C3B49}">
  <dimension ref="A1:I21"/>
  <sheetViews>
    <sheetView showGridLines="0" zoomScale="130" zoomScaleNormal="130" workbookViewId="0">
      <selection activeCell="A21" sqref="A21:F21"/>
    </sheetView>
  </sheetViews>
  <sheetFormatPr defaultRowHeight="14" x14ac:dyDescent="0.3"/>
  <cols>
    <col min="1" max="1" width="18.25" style="9" bestFit="1" customWidth="1"/>
    <col min="2" max="4" width="8.6640625" style="9"/>
    <col min="5" max="5" width="13.33203125" style="9" customWidth="1"/>
    <col min="6" max="16384" width="8.6640625" style="9"/>
  </cols>
  <sheetData>
    <row r="1" spans="1:9" x14ac:dyDescent="0.3">
      <c r="A1" s="13" t="s">
        <v>54</v>
      </c>
      <c r="E1" s="13" t="s">
        <v>65</v>
      </c>
    </row>
    <row r="2" spans="1:9" x14ac:dyDescent="0.3">
      <c r="A2" s="30" t="s">
        <v>55</v>
      </c>
      <c r="B2" s="31" t="s">
        <v>56</v>
      </c>
      <c r="C2" s="32">
        <v>2017</v>
      </c>
      <c r="E2" s="30" t="s">
        <v>66</v>
      </c>
      <c r="F2" s="31" t="s">
        <v>67</v>
      </c>
      <c r="G2" s="32" t="s">
        <v>68</v>
      </c>
      <c r="H2" s="32" t="s">
        <v>105</v>
      </c>
      <c r="I2" s="30" t="s">
        <v>69</v>
      </c>
    </row>
    <row r="3" spans="1:9" x14ac:dyDescent="0.3">
      <c r="A3" s="14" t="s">
        <v>57</v>
      </c>
      <c r="B3" s="14">
        <v>71</v>
      </c>
      <c r="C3" s="14">
        <v>75</v>
      </c>
      <c r="E3" s="14" cm="1">
        <f t="array" ref="E3">ROW(1:1)-0.5</f>
        <v>0.5</v>
      </c>
      <c r="F3" s="14">
        <f>MIN(B3:C3)</f>
        <v>71</v>
      </c>
      <c r="G3" s="14">
        <f>ABS(B3-C3)</f>
        <v>4</v>
      </c>
      <c r="H3" s="14">
        <f>80-SUM(F3:G3)</f>
        <v>5</v>
      </c>
      <c r="I3" s="14">
        <v>-13</v>
      </c>
    </row>
    <row r="4" spans="1:9" x14ac:dyDescent="0.3">
      <c r="A4" s="14" t="s">
        <v>23</v>
      </c>
      <c r="B4" s="14">
        <v>46</v>
      </c>
      <c r="C4" s="14">
        <v>73</v>
      </c>
      <c r="E4" s="14" cm="1">
        <f t="array" ref="E4">ROW(2:2)-0.5</f>
        <v>1.5</v>
      </c>
      <c r="F4" s="14">
        <f t="shared" ref="F4:F12" si="0">MIN(B4:C4)</f>
        <v>46</v>
      </c>
      <c r="G4" s="14">
        <f t="shared" ref="G4:G12" si="1">ABS(B4-C4)</f>
        <v>27</v>
      </c>
      <c r="H4" s="14">
        <f t="shared" ref="H4:H12" si="2">80-SUM(F4:G4)</f>
        <v>7</v>
      </c>
      <c r="I4" s="14">
        <v>-13</v>
      </c>
    </row>
    <row r="5" spans="1:9" x14ac:dyDescent="0.3">
      <c r="A5" s="14" t="s">
        <v>70</v>
      </c>
      <c r="B5" s="14">
        <v>62</v>
      </c>
      <c r="C5" s="14">
        <v>72</v>
      </c>
      <c r="E5" s="14" cm="1">
        <f t="array" ref="E5">ROW(3:3)-0.5</f>
        <v>2.5</v>
      </c>
      <c r="F5" s="14">
        <f t="shared" si="0"/>
        <v>62</v>
      </c>
      <c r="G5" s="14">
        <f t="shared" si="1"/>
        <v>10</v>
      </c>
      <c r="H5" s="14">
        <f t="shared" si="2"/>
        <v>8</v>
      </c>
      <c r="I5" s="14">
        <v>-13</v>
      </c>
    </row>
    <row r="6" spans="1:9" x14ac:dyDescent="0.3">
      <c r="A6" s="14" t="s">
        <v>58</v>
      </c>
      <c r="B6" s="14">
        <v>52</v>
      </c>
      <c r="C6" s="14">
        <v>69</v>
      </c>
      <c r="E6" s="14" cm="1">
        <f t="array" ref="E6">ROW(4:4)-0.5</f>
        <v>3.5</v>
      </c>
      <c r="F6" s="14">
        <f t="shared" si="0"/>
        <v>52</v>
      </c>
      <c r="G6" s="14">
        <f t="shared" si="1"/>
        <v>17</v>
      </c>
      <c r="H6" s="14">
        <f t="shared" si="2"/>
        <v>11</v>
      </c>
      <c r="I6" s="14">
        <v>-13</v>
      </c>
    </row>
    <row r="7" spans="1:9" ht="16.5" x14ac:dyDescent="0.3">
      <c r="A7" s="14" t="s">
        <v>59</v>
      </c>
      <c r="B7" s="14">
        <v>79</v>
      </c>
      <c r="C7" s="14">
        <v>68</v>
      </c>
      <c r="E7" s="14" cm="1">
        <f t="array" ref="E7">ROW(5:5)-0.5</f>
        <v>4.5</v>
      </c>
      <c r="F7" s="14">
        <f t="shared" si="0"/>
        <v>68</v>
      </c>
      <c r="G7" s="14">
        <f t="shared" si="1"/>
        <v>11</v>
      </c>
      <c r="H7" s="14">
        <f t="shared" si="2"/>
        <v>1</v>
      </c>
      <c r="I7" s="14">
        <v>-13</v>
      </c>
    </row>
    <row r="8" spans="1:9" x14ac:dyDescent="0.3">
      <c r="A8" s="14" t="s">
        <v>64</v>
      </c>
      <c r="B8" s="14">
        <v>47</v>
      </c>
      <c r="C8" s="14">
        <v>67</v>
      </c>
      <c r="E8" s="14" cm="1">
        <f t="array" ref="E8">ROW(6:6)-0.5</f>
        <v>5.5</v>
      </c>
      <c r="F8" s="14">
        <f t="shared" si="0"/>
        <v>47</v>
      </c>
      <c r="G8" s="14">
        <f t="shared" si="1"/>
        <v>20</v>
      </c>
      <c r="H8" s="14">
        <f t="shared" si="2"/>
        <v>13</v>
      </c>
      <c r="I8" s="14">
        <v>-13</v>
      </c>
    </row>
    <row r="9" spans="1:9" x14ac:dyDescent="0.3">
      <c r="A9" s="14" t="s">
        <v>63</v>
      </c>
      <c r="B9" s="14">
        <v>46</v>
      </c>
      <c r="C9" s="14">
        <v>67</v>
      </c>
      <c r="E9" s="14" cm="1">
        <f t="array" ref="E9">ROW(7:7)-0.5</f>
        <v>6.5</v>
      </c>
      <c r="F9" s="14">
        <f t="shared" si="0"/>
        <v>46</v>
      </c>
      <c r="G9" s="14">
        <f t="shared" si="1"/>
        <v>21</v>
      </c>
      <c r="H9" s="14">
        <f t="shared" si="2"/>
        <v>13</v>
      </c>
      <c r="I9" s="14">
        <v>-13</v>
      </c>
    </row>
    <row r="10" spans="1:9" x14ac:dyDescent="0.3">
      <c r="A10" s="14" t="s">
        <v>62</v>
      </c>
      <c r="B10" s="14">
        <v>46</v>
      </c>
      <c r="C10" s="14">
        <v>64</v>
      </c>
      <c r="E10" s="14" cm="1">
        <f t="array" ref="E10">ROW(8:8)-0.5</f>
        <v>7.5</v>
      </c>
      <c r="F10" s="14">
        <f t="shared" si="0"/>
        <v>46</v>
      </c>
      <c r="G10" s="14">
        <f t="shared" si="1"/>
        <v>18</v>
      </c>
      <c r="H10" s="14">
        <f t="shared" si="2"/>
        <v>16</v>
      </c>
      <c r="I10" s="14">
        <v>-13</v>
      </c>
    </row>
    <row r="11" spans="1:9" x14ac:dyDescent="0.3">
      <c r="A11" s="14" t="s">
        <v>61</v>
      </c>
      <c r="B11" s="14">
        <v>44</v>
      </c>
      <c r="C11" s="14">
        <v>59</v>
      </c>
      <c r="E11" s="14" cm="1">
        <f t="array" ref="E11">ROW(9:9)-0.5</f>
        <v>8.5</v>
      </c>
      <c r="F11" s="14">
        <f t="shared" si="0"/>
        <v>44</v>
      </c>
      <c r="G11" s="14">
        <f t="shared" si="1"/>
        <v>15</v>
      </c>
      <c r="H11" s="14">
        <f t="shared" si="2"/>
        <v>21</v>
      </c>
      <c r="I11" s="14">
        <v>-13</v>
      </c>
    </row>
    <row r="12" spans="1:9" x14ac:dyDescent="0.3">
      <c r="A12" s="14" t="s">
        <v>60</v>
      </c>
      <c r="B12" s="14">
        <v>27</v>
      </c>
      <c r="C12" s="14">
        <v>55</v>
      </c>
      <c r="E12" s="14" cm="1">
        <f t="array" ref="E12">ROW(10:10)-0.5</f>
        <v>9.5</v>
      </c>
      <c r="F12" s="14">
        <f t="shared" si="0"/>
        <v>27</v>
      </c>
      <c r="G12" s="14">
        <f t="shared" si="1"/>
        <v>28</v>
      </c>
      <c r="H12" s="14">
        <f t="shared" si="2"/>
        <v>25</v>
      </c>
      <c r="I12" s="14">
        <v>-13</v>
      </c>
    </row>
    <row r="14" spans="1:9" x14ac:dyDescent="0.3">
      <c r="A14" s="30" t="s">
        <v>71</v>
      </c>
      <c r="B14" s="29" t="s">
        <v>77</v>
      </c>
      <c r="C14" s="29"/>
      <c r="D14" s="29"/>
      <c r="E14" s="29"/>
    </row>
    <row r="15" spans="1:9" x14ac:dyDescent="0.3">
      <c r="A15" s="30" t="s">
        <v>72</v>
      </c>
      <c r="B15" s="29" t="s">
        <v>78</v>
      </c>
      <c r="C15" s="29"/>
      <c r="D15" s="29"/>
      <c r="E15" s="29"/>
    </row>
    <row r="16" spans="1:9" x14ac:dyDescent="0.3">
      <c r="A16" s="30" t="s">
        <v>73</v>
      </c>
      <c r="B16" s="29" t="s">
        <v>79</v>
      </c>
      <c r="C16" s="29"/>
      <c r="D16" s="29"/>
      <c r="E16" s="29"/>
    </row>
    <row r="17" spans="1:6" x14ac:dyDescent="0.3">
      <c r="A17" s="30" t="s">
        <v>74</v>
      </c>
      <c r="B17" s="29" t="s">
        <v>80</v>
      </c>
      <c r="C17" s="29"/>
      <c r="D17" s="29"/>
      <c r="E17" s="29"/>
    </row>
    <row r="18" spans="1:6" x14ac:dyDescent="0.3">
      <c r="A18" s="30" t="s">
        <v>75</v>
      </c>
      <c r="B18" s="29" t="s">
        <v>81</v>
      </c>
      <c r="C18" s="29"/>
      <c r="D18" s="29"/>
      <c r="E18" s="29"/>
    </row>
    <row r="19" spans="1:6" ht="16.5" x14ac:dyDescent="0.3">
      <c r="A19" s="30" t="s">
        <v>76</v>
      </c>
      <c r="B19" s="28" t="s">
        <v>82</v>
      </c>
      <c r="C19" s="29"/>
      <c r="D19" s="29"/>
      <c r="E19" s="29"/>
    </row>
    <row r="21" spans="1:6" x14ac:dyDescent="0.3">
      <c r="A21" s="21" t="s">
        <v>86</v>
      </c>
      <c r="B21" s="21"/>
      <c r="C21" s="21"/>
      <c r="D21" s="21"/>
      <c r="E21" s="21"/>
      <c r="F21" s="21"/>
    </row>
  </sheetData>
  <mergeCells count="7">
    <mergeCell ref="B19:E19"/>
    <mergeCell ref="A21:F21"/>
    <mergeCell ref="B14:E14"/>
    <mergeCell ref="B15:E15"/>
    <mergeCell ref="B16:E16"/>
    <mergeCell ref="B17:E17"/>
    <mergeCell ref="B18:E18"/>
  </mergeCells>
  <phoneticPr fontId="1" type="noConversion"/>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D3BFB5-117E-48E3-B14D-71DA803D4C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飓风图(两组）</vt:lpstr>
      <vt:lpstr>对比条形图(两组）</vt:lpstr>
      <vt:lpstr>斜率图（两组）</vt:lpstr>
      <vt:lpstr>表型图（可视化）</vt:lpstr>
      <vt:lpstr>杠铃图（2~3组）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李峰</dc:creator>
  <cp:lastModifiedBy>李集达</cp:lastModifiedBy>
  <cp:lastPrinted>2025-10-15T05:54:40Z</cp:lastPrinted>
  <dcterms:created xsi:type="dcterms:W3CDTF">2025-10-14T10:29:46Z</dcterms:created>
  <dcterms:modified xsi:type="dcterms:W3CDTF">2025-11-02T01:42:04Z</dcterms:modified>
</cp:coreProperties>
</file>