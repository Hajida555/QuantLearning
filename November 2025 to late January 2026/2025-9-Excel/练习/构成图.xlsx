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xcel\练习\"/>
    </mc:Choice>
  </mc:AlternateContent>
  <xr:revisionPtr revIDLastSave="0" documentId="13_ncr:1_{55ADD949-78C9-418E-9C8C-D4D8D84E79E0}" xr6:coauthVersionLast="47" xr6:coauthVersionMax="47" xr10:uidLastSave="{00000000-0000-0000-0000-000000000000}"/>
  <bookViews>
    <workbookView xWindow="-110" yWindow="-110" windowWidth="25820" windowHeight="16220" activeTab="3" xr2:uid="{F06477FD-74D2-464B-B71E-3B10B027E06C}"/>
  </bookViews>
  <sheets>
    <sheet name="对比堆积柱形图" sheetId="1" r:id="rId1"/>
    <sheet name="单元图" sheetId="2" r:id="rId2"/>
    <sheet name="簇状堆积柱形图" sheetId="3" r:id="rId3"/>
    <sheet name="不等宽柱形图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4" l="1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30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2" i="4"/>
  <c r="N3" i="4" a="1"/>
  <c r="N3" i="4" s="1"/>
  <c r="O5" i="4" a="1"/>
  <c r="O5" i="4" s="1"/>
  <c r="J8" i="4" a="1"/>
  <c r="J8" i="4" s="1"/>
  <c r="L10" i="4" a="1"/>
  <c r="L10" i="4" s="1"/>
  <c r="N12" i="4" a="1"/>
  <c r="N12" i="4" s="1"/>
  <c r="I15" i="4" a="1"/>
  <c r="I15" i="4" s="1"/>
  <c r="H13" i="4" a="1"/>
  <c r="H13" i="4" s="1"/>
  <c r="H14" i="4" a="1"/>
  <c r="H14" i="4" s="1"/>
  <c r="G2" i="4" a="1"/>
  <c r="G2" i="4" s="1"/>
  <c r="C13" i="4"/>
  <c r="C14" i="4"/>
  <c r="C15" i="4"/>
  <c r="I2" i="4" s="1" a="1"/>
  <c r="I2" i="4" s="1"/>
  <c r="C12" i="4"/>
  <c r="B12" i="4" a="1"/>
  <c r="B12" i="4" s="1"/>
  <c r="C16" i="4" s="1"/>
  <c r="E2" i="4"/>
  <c r="D3" i="4"/>
  <c r="D4" i="4"/>
  <c r="D5" i="4"/>
  <c r="D6" i="4"/>
  <c r="D7" i="4"/>
  <c r="D8" i="4"/>
  <c r="D9" i="4"/>
  <c r="D2" i="4"/>
  <c r="D39" i="3" a="1"/>
  <c r="D39" i="3" s="1"/>
  <c r="D38" i="3" a="1"/>
  <c r="D38" i="3" s="1"/>
  <c r="D37" i="3"/>
  <c r="D37" i="3" a="1"/>
  <c r="D36" i="3" a="1"/>
  <c r="D36" i="3" s="1"/>
  <c r="D35" i="3"/>
  <c r="D35" i="3" a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C39" i="3" a="1"/>
  <c r="C39" i="3" s="1"/>
  <c r="C38" i="3" a="1"/>
  <c r="C38" i="3" s="1"/>
  <c r="C37" i="3" a="1"/>
  <c r="C37" i="3" s="1"/>
  <c r="C36" i="3" a="1"/>
  <c r="C36" i="3" s="1"/>
  <c r="C35" i="3" a="1"/>
  <c r="C35" i="3" s="1"/>
  <c r="C34" i="3" a="1"/>
  <c r="C34" i="3" s="1"/>
  <c r="C33" i="3" a="1"/>
  <c r="C33" i="3" s="1"/>
  <c r="C32" i="3" a="1"/>
  <c r="C32" i="3" s="1"/>
  <c r="C31" i="3" a="1"/>
  <c r="C31" i="3" s="1"/>
  <c r="C30" i="3" a="1"/>
  <c r="C30" i="3" s="1"/>
  <c r="C29" i="3" a="1"/>
  <c r="C29" i="3" s="1"/>
  <c r="C28" i="3" a="1"/>
  <c r="C28" i="3" s="1"/>
  <c r="C27" i="3" a="1"/>
  <c r="C27" i="3" s="1"/>
  <c r="C26" i="3" a="1"/>
  <c r="C26" i="3" s="1"/>
  <c r="C25" i="3" a="1"/>
  <c r="C25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32" i="3" a="1"/>
  <c r="B32" i="3" s="1"/>
  <c r="E17" i="1"/>
  <c r="E16" i="1"/>
  <c r="D17" i="1"/>
  <c r="D16" i="1"/>
  <c r="D15" i="1"/>
  <c r="C17" i="1"/>
  <c r="C16" i="1"/>
  <c r="B17" i="1"/>
  <c r="B16" i="1"/>
  <c r="B15" i="1"/>
  <c r="B14" i="1"/>
  <c r="N11" i="1"/>
  <c r="N10" i="1"/>
  <c r="E15" i="1" s="1"/>
  <c r="I10" i="1"/>
  <c r="J10" i="1"/>
  <c r="K10" i="1"/>
  <c r="L10" i="1"/>
  <c r="I11" i="1"/>
  <c r="J11" i="1"/>
  <c r="K11" i="1"/>
  <c r="L11" i="1"/>
  <c r="H11" i="1"/>
  <c r="H10" i="1"/>
  <c r="D14" i="1" s="1"/>
  <c r="F11" i="1"/>
  <c r="F10" i="1"/>
  <c r="E11" i="1"/>
  <c r="E10" i="1"/>
  <c r="C14" i="1" s="1"/>
  <c r="M11" i="1"/>
  <c r="M10" i="1"/>
  <c r="G11" i="1"/>
  <c r="G10" i="1"/>
  <c r="D11" i="1"/>
  <c r="D10" i="1"/>
  <c r="C11" i="1"/>
  <c r="C10" i="1"/>
  <c r="B11" i="1"/>
  <c r="B10" i="1"/>
  <c r="H15" i="4" l="1" a="1"/>
  <c r="H15" i="4" s="1"/>
  <c r="J15" i="4" a="1"/>
  <c r="J15" i="4" s="1"/>
  <c r="O12" i="4" a="1"/>
  <c r="O12" i="4" s="1"/>
  <c r="M10" i="4" a="1"/>
  <c r="M10" i="4" s="1"/>
  <c r="K8" i="4" a="1"/>
  <c r="K8" i="4" s="1"/>
  <c r="I6" i="4" a="1"/>
  <c r="I6" i="4" s="1"/>
  <c r="O14" i="4" a="1"/>
  <c r="O14" i="4" s="1"/>
  <c r="M12" i="4" a="1"/>
  <c r="M12" i="4" s="1"/>
  <c r="K10" i="4" a="1"/>
  <c r="K10" i="4" s="1"/>
  <c r="I8" i="4" a="1"/>
  <c r="I8" i="4" s="1"/>
  <c r="N5" i="4" a="1"/>
  <c r="N5" i="4" s="1"/>
  <c r="M3" i="4" a="1"/>
  <c r="M3" i="4" s="1"/>
  <c r="H12" i="4" a="1"/>
  <c r="H12" i="4" s="1"/>
  <c r="N14" i="4" a="1"/>
  <c r="N14" i="4" s="1"/>
  <c r="L12" i="4" a="1"/>
  <c r="L12" i="4" s="1"/>
  <c r="J10" i="4" a="1"/>
  <c r="J10" i="4" s="1"/>
  <c r="O7" i="4" a="1"/>
  <c r="O7" i="4" s="1"/>
  <c r="M5" i="4" a="1"/>
  <c r="M5" i="4" s="1"/>
  <c r="L3" i="4" a="1"/>
  <c r="L3" i="4" s="1"/>
  <c r="H11" i="4" a="1"/>
  <c r="H11" i="4" s="1"/>
  <c r="M14" i="4" a="1"/>
  <c r="M14" i="4" s="1"/>
  <c r="K12" i="4" a="1"/>
  <c r="K12" i="4" s="1"/>
  <c r="I10" i="4" a="1"/>
  <c r="I10" i="4" s="1"/>
  <c r="N7" i="4" a="1"/>
  <c r="N7" i="4" s="1"/>
  <c r="L5" i="4" a="1"/>
  <c r="L5" i="4" s="1"/>
  <c r="K3" i="4" a="1"/>
  <c r="K3" i="4" s="1"/>
  <c r="H10" i="4" a="1"/>
  <c r="H10" i="4" s="1"/>
  <c r="L14" i="4" a="1"/>
  <c r="L14" i="4" s="1"/>
  <c r="J12" i="4" a="1"/>
  <c r="J12" i="4" s="1"/>
  <c r="O9" i="4" a="1"/>
  <c r="O9" i="4" s="1"/>
  <c r="M7" i="4" a="1"/>
  <c r="M7" i="4" s="1"/>
  <c r="K5" i="4" a="1"/>
  <c r="K5" i="4" s="1"/>
  <c r="J3" i="4" a="1"/>
  <c r="J3" i="4" s="1"/>
  <c r="H9" i="4" a="1"/>
  <c r="H9" i="4" s="1"/>
  <c r="K14" i="4" a="1"/>
  <c r="K14" i="4" s="1"/>
  <c r="I12" i="4" a="1"/>
  <c r="I12" i="4" s="1"/>
  <c r="N9" i="4" a="1"/>
  <c r="N9" i="4" s="1"/>
  <c r="L7" i="4" a="1"/>
  <c r="L7" i="4" s="1"/>
  <c r="J5" i="4" a="1"/>
  <c r="J5" i="4" s="1"/>
  <c r="I3" i="4" a="1"/>
  <c r="I3" i="4" s="1"/>
  <c r="H8" i="4" a="1"/>
  <c r="H8" i="4" s="1"/>
  <c r="J14" i="4" a="1"/>
  <c r="J14" i="4" s="1"/>
  <c r="O11" i="4" a="1"/>
  <c r="O11" i="4" s="1"/>
  <c r="M9" i="4" a="1"/>
  <c r="M9" i="4" s="1"/>
  <c r="K7" i="4" a="1"/>
  <c r="K7" i="4" s="1"/>
  <c r="I5" i="4" a="1"/>
  <c r="I5" i="4" s="1"/>
  <c r="O2" i="4" a="1"/>
  <c r="O2" i="4" s="1"/>
  <c r="H7" i="4" a="1"/>
  <c r="H7" i="4" s="1"/>
  <c r="I14" i="4" a="1"/>
  <c r="I14" i="4" s="1"/>
  <c r="N11" i="4" a="1"/>
  <c r="N11" i="4" s="1"/>
  <c r="L9" i="4" a="1"/>
  <c r="L9" i="4" s="1"/>
  <c r="J7" i="4" a="1"/>
  <c r="J7" i="4" s="1"/>
  <c r="O4" i="4" a="1"/>
  <c r="O4" i="4" s="1"/>
  <c r="H6" i="4" a="1"/>
  <c r="H6" i="4" s="1"/>
  <c r="O13" i="4" a="1"/>
  <c r="O13" i="4" s="1"/>
  <c r="M11" i="4" a="1"/>
  <c r="M11" i="4" s="1"/>
  <c r="K9" i="4" a="1"/>
  <c r="K9" i="4" s="1"/>
  <c r="I7" i="4" a="1"/>
  <c r="I7" i="4" s="1"/>
  <c r="N4" i="4" a="1"/>
  <c r="N4" i="4" s="1"/>
  <c r="N2" i="4" a="1"/>
  <c r="N2" i="4" s="1"/>
  <c r="H5" i="4" a="1"/>
  <c r="H5" i="4" s="1"/>
  <c r="N13" i="4" a="1"/>
  <c r="N13" i="4" s="1"/>
  <c r="L11" i="4" a="1"/>
  <c r="L11" i="4" s="1"/>
  <c r="J9" i="4" a="1"/>
  <c r="J9" i="4" s="1"/>
  <c r="O6" i="4" a="1"/>
  <c r="O6" i="4" s="1"/>
  <c r="M4" i="4" a="1"/>
  <c r="M4" i="4" s="1"/>
  <c r="O15" i="4" a="1"/>
  <c r="O15" i="4" s="1"/>
  <c r="M13" i="4" a="1"/>
  <c r="M13" i="4" s="1"/>
  <c r="K11" i="4" a="1"/>
  <c r="K11" i="4" s="1"/>
  <c r="I9" i="4" a="1"/>
  <c r="I9" i="4" s="1"/>
  <c r="N6" i="4" a="1"/>
  <c r="N6" i="4" s="1"/>
  <c r="L4" i="4" a="1"/>
  <c r="L4" i="4" s="1"/>
  <c r="M2" i="4" a="1"/>
  <c r="M2" i="4" s="1"/>
  <c r="H4" i="4" a="1"/>
  <c r="H4" i="4" s="1"/>
  <c r="H2" i="4" a="1"/>
  <c r="H2" i="4" s="1"/>
  <c r="N15" i="4" a="1"/>
  <c r="N15" i="4" s="1"/>
  <c r="L13" i="4" a="1"/>
  <c r="L13" i="4" s="1"/>
  <c r="J11" i="4" a="1"/>
  <c r="J11" i="4" s="1"/>
  <c r="O8" i="4" a="1"/>
  <c r="O8" i="4" s="1"/>
  <c r="M6" i="4" a="1"/>
  <c r="M6" i="4" s="1"/>
  <c r="K4" i="4" a="1"/>
  <c r="K4" i="4" s="1"/>
  <c r="L2" i="4" a="1"/>
  <c r="L2" i="4" s="1"/>
  <c r="H3" i="4" a="1"/>
  <c r="H3" i="4" s="1"/>
  <c r="K61" i="4" a="1"/>
  <c r="K61" i="4" s="1"/>
  <c r="M15" i="4" a="1"/>
  <c r="M15" i="4" s="1"/>
  <c r="K13" i="4" a="1"/>
  <c r="K13" i="4" s="1"/>
  <c r="I11" i="4" a="1"/>
  <c r="I11" i="4" s="1"/>
  <c r="N8" i="4" a="1"/>
  <c r="N8" i="4" s="1"/>
  <c r="L6" i="4" a="1"/>
  <c r="L6" i="4" s="1"/>
  <c r="J4" i="4" a="1"/>
  <c r="J4" i="4" s="1"/>
  <c r="K2" i="4" a="1"/>
  <c r="K2" i="4" s="1"/>
  <c r="N81" i="4" a="1"/>
  <c r="N81" i="4" s="1"/>
  <c r="J45" i="4" a="1"/>
  <c r="J45" i="4" s="1"/>
  <c r="L15" i="4" a="1"/>
  <c r="L15" i="4" s="1"/>
  <c r="J13" i="4" a="1"/>
  <c r="J13" i="4" s="1"/>
  <c r="O10" i="4" a="1"/>
  <c r="O10" i="4" s="1"/>
  <c r="M8" i="4" a="1"/>
  <c r="M8" i="4" s="1"/>
  <c r="K6" i="4" a="1"/>
  <c r="K6" i="4" s="1"/>
  <c r="I4" i="4" a="1"/>
  <c r="I4" i="4" s="1"/>
  <c r="J2" i="4" a="1"/>
  <c r="J2" i="4" s="1"/>
  <c r="M65" i="4" a="1"/>
  <c r="M65" i="4" s="1"/>
  <c r="I29" i="4" a="1"/>
  <c r="I29" i="4" s="1"/>
  <c r="K15" i="4" a="1"/>
  <c r="K15" i="4" s="1"/>
  <c r="I13" i="4" a="1"/>
  <c r="I13" i="4" s="1"/>
  <c r="N10" i="4" a="1"/>
  <c r="N10" i="4" s="1"/>
  <c r="L8" i="4" a="1"/>
  <c r="L8" i="4" s="1"/>
  <c r="J6" i="4" a="1"/>
  <c r="J6" i="4" s="1"/>
  <c r="O3" i="4" a="1"/>
  <c r="O3" i="4" s="1"/>
  <c r="C15" i="1"/>
  <c r="E14" i="1"/>
  <c r="C19" i="4"/>
  <c r="C18" i="4"/>
  <c r="C17" i="4"/>
  <c r="I70" i="4" s="1" a="1"/>
  <c r="I70" i="4" s="1"/>
  <c r="O62" i="4" l="1" a="1"/>
  <c r="O62" i="4" s="1"/>
  <c r="K29" i="4" a="1"/>
  <c r="K29" i="4" s="1"/>
  <c r="N26" i="4" a="1"/>
  <c r="N26" i="4" s="1"/>
  <c r="K63" i="4" a="1"/>
  <c r="K63" i="4" s="1"/>
  <c r="O42" i="4" a="1"/>
  <c r="O42" i="4" s="1"/>
  <c r="L79" i="4" a="1"/>
  <c r="L79" i="4" s="1"/>
  <c r="L22" i="4" a="1"/>
  <c r="L22" i="4" s="1"/>
  <c r="I59" i="4" a="1"/>
  <c r="I59" i="4" s="1"/>
  <c r="M38" i="4" a="1"/>
  <c r="M38" i="4" s="1"/>
  <c r="J75" i="4" a="1"/>
  <c r="J75" i="4" s="1"/>
  <c r="L20" i="4" a="1"/>
  <c r="L20" i="4" s="1"/>
  <c r="I57" i="4" a="1"/>
  <c r="I57" i="4" s="1"/>
  <c r="I48" i="4" a="1"/>
  <c r="I48" i="4" s="1"/>
  <c r="H21" i="4" a="1"/>
  <c r="H21" i="4" s="1"/>
  <c r="O29" i="4" a="1"/>
  <c r="O29" i="4" s="1"/>
  <c r="L66" i="4" a="1"/>
  <c r="L66" i="4" s="1"/>
  <c r="M50" i="4" a="1"/>
  <c r="M50" i="4" s="1"/>
  <c r="H38" i="4" a="1"/>
  <c r="H38" i="4" s="1"/>
  <c r="L32" i="4" a="1"/>
  <c r="L32" i="4" s="1"/>
  <c r="I69" i="4" a="1"/>
  <c r="I69" i="4" s="1"/>
  <c r="O50" i="4" a="1"/>
  <c r="O50" i="4" s="1"/>
  <c r="H40" i="4" a="1"/>
  <c r="H40" i="4" s="1"/>
  <c r="N32" i="4" a="1"/>
  <c r="N32" i="4" s="1"/>
  <c r="K69" i="4" a="1"/>
  <c r="K69" i="4" s="1"/>
  <c r="J51" i="4" a="1"/>
  <c r="J51" i="4" s="1"/>
  <c r="H42" i="4" a="1"/>
  <c r="H42" i="4" s="1"/>
  <c r="I33" i="4" a="1"/>
  <c r="I33" i="4" s="1"/>
  <c r="M69" i="4" a="1"/>
  <c r="M69" i="4" s="1"/>
  <c r="I24" i="4" a="1"/>
  <c r="I24" i="4" s="1"/>
  <c r="M60" i="4" a="1"/>
  <c r="M60" i="4" s="1"/>
  <c r="I22" i="4" a="1"/>
  <c r="I22" i="4" s="1"/>
  <c r="M58" i="4" a="1"/>
  <c r="M58" i="4" s="1"/>
  <c r="K50" i="4" a="1"/>
  <c r="K50" i="4" s="1"/>
  <c r="O60" i="4" a="1"/>
  <c r="O60" i="4" s="1"/>
  <c r="K31" i="4" a="1"/>
  <c r="K31" i="4" s="1"/>
  <c r="O67" i="4" a="1"/>
  <c r="O67" i="4" s="1"/>
  <c r="L47" i="4" a="1"/>
  <c r="L47" i="4" s="1"/>
  <c r="H17" i="4" a="1"/>
  <c r="H17" i="4" s="1"/>
  <c r="I27" i="4" a="1"/>
  <c r="I27" i="4" s="1"/>
  <c r="M63" i="4" a="1"/>
  <c r="M63" i="4" s="1"/>
  <c r="J43" i="4" a="1"/>
  <c r="J43" i="4" s="1"/>
  <c r="N79" i="4" a="1"/>
  <c r="N79" i="4" s="1"/>
  <c r="I25" i="4" a="1"/>
  <c r="I25" i="4" s="1"/>
  <c r="M61" i="4" a="1"/>
  <c r="M61" i="4" s="1"/>
  <c r="I16" i="4" a="1"/>
  <c r="I16" i="4" s="1"/>
  <c r="M52" i="4" a="1"/>
  <c r="M52" i="4" s="1"/>
  <c r="H52" i="4" a="1"/>
  <c r="H52" i="4" s="1"/>
  <c r="L34" i="4" a="1"/>
  <c r="L34" i="4" s="1"/>
  <c r="I71" i="4" a="1"/>
  <c r="I71" i="4" s="1"/>
  <c r="M18" i="4" a="1"/>
  <c r="M18" i="4" s="1"/>
  <c r="J55" i="4" a="1"/>
  <c r="J55" i="4" s="1"/>
  <c r="H70" i="4" a="1"/>
  <c r="H70" i="4" s="1"/>
  <c r="I37" i="4" a="1"/>
  <c r="I37" i="4" s="1"/>
  <c r="M73" i="4" a="1"/>
  <c r="M73" i="4" s="1"/>
  <c r="O18" i="4" a="1"/>
  <c r="O18" i="4" s="1"/>
  <c r="L55" i="4" a="1"/>
  <c r="L55" i="4" s="1"/>
  <c r="H72" i="4" a="1"/>
  <c r="H72" i="4" s="1"/>
  <c r="K37" i="4" a="1"/>
  <c r="K37" i="4" s="1"/>
  <c r="O73" i="4" a="1"/>
  <c r="O73" i="4" s="1"/>
  <c r="J19" i="4" a="1"/>
  <c r="J19" i="4" s="1"/>
  <c r="N55" i="4" a="1"/>
  <c r="N55" i="4" s="1"/>
  <c r="H74" i="4" a="1"/>
  <c r="H74" i="4" s="1"/>
  <c r="M37" i="4" a="1"/>
  <c r="M37" i="4" s="1"/>
  <c r="J74" i="4" a="1"/>
  <c r="J74" i="4" s="1"/>
  <c r="M28" i="4" a="1"/>
  <c r="M28" i="4" s="1"/>
  <c r="J65" i="4" a="1"/>
  <c r="J65" i="4" s="1"/>
  <c r="M26" i="4" a="1"/>
  <c r="M26" i="4" s="1"/>
  <c r="J63" i="4" a="1"/>
  <c r="J63" i="4" s="1"/>
  <c r="K71" i="4" a="1"/>
  <c r="K71" i="4" s="1"/>
  <c r="N36" i="4" a="1"/>
  <c r="N36" i="4" s="1"/>
  <c r="O20" i="4" a="1"/>
  <c r="O20" i="4" s="1"/>
  <c r="L57" i="4" a="1"/>
  <c r="L57" i="4" s="1"/>
  <c r="K39" i="4" a="1"/>
  <c r="K39" i="4" s="1"/>
  <c r="O75" i="4" a="1"/>
  <c r="O75" i="4" s="1"/>
  <c r="J21" i="4" a="1"/>
  <c r="J21" i="4" s="1"/>
  <c r="N57" i="4" a="1"/>
  <c r="N57" i="4" s="1"/>
  <c r="M39" i="4" a="1"/>
  <c r="M39" i="4" s="1"/>
  <c r="J76" i="4" a="1"/>
  <c r="J76" i="4" s="1"/>
  <c r="L21" i="4" a="1"/>
  <c r="L21" i="4" s="1"/>
  <c r="I58" i="4" a="1"/>
  <c r="I58" i="4" s="1"/>
  <c r="O39" i="4" a="1"/>
  <c r="O39" i="4" s="1"/>
  <c r="L76" i="4" a="1"/>
  <c r="L76" i="4" s="1"/>
  <c r="O30" i="4" a="1"/>
  <c r="O30" i="4" s="1"/>
  <c r="L67" i="4" a="1"/>
  <c r="L67" i="4" s="1"/>
  <c r="O28" i="4" a="1"/>
  <c r="O28" i="4" s="1"/>
  <c r="L65" i="4" a="1"/>
  <c r="L65" i="4" s="1"/>
  <c r="K26" i="4" a="1"/>
  <c r="K26" i="4" s="1"/>
  <c r="J68" i="4" a="1"/>
  <c r="J68" i="4" s="1"/>
  <c r="I39" i="4" a="1"/>
  <c r="I39" i="4" s="1"/>
  <c r="N59" i="4" a="1"/>
  <c r="N59" i="4" s="1"/>
  <c r="M41" i="4" a="1"/>
  <c r="M41" i="4" s="1"/>
  <c r="J78" i="4" a="1"/>
  <c r="J78" i="4" s="1"/>
  <c r="L23" i="4" a="1"/>
  <c r="L23" i="4" s="1"/>
  <c r="I60" i="4" a="1"/>
  <c r="I60" i="4" s="1"/>
  <c r="O41" i="4" a="1"/>
  <c r="O41" i="4" s="1"/>
  <c r="L78" i="4" a="1"/>
  <c r="L78" i="4" s="1"/>
  <c r="N23" i="4" a="1"/>
  <c r="N23" i="4" s="1"/>
  <c r="K60" i="4" a="1"/>
  <c r="K60" i="4" s="1"/>
  <c r="J42" i="4" a="1"/>
  <c r="J42" i="4" s="1"/>
  <c r="N78" i="4" a="1"/>
  <c r="N78" i="4" s="1"/>
  <c r="J33" i="4" a="1"/>
  <c r="J33" i="4" s="1"/>
  <c r="N69" i="4" a="1"/>
  <c r="N69" i="4" s="1"/>
  <c r="J31" i="4" a="1"/>
  <c r="J31" i="4" s="1"/>
  <c r="N67" i="4" a="1"/>
  <c r="N67" i="4" s="1"/>
  <c r="N24" i="4" a="1"/>
  <c r="N24" i="4" s="1"/>
  <c r="O52" i="4" a="1"/>
  <c r="O52" i="4" s="1"/>
  <c r="L53" i="4" a="1"/>
  <c r="L53" i="4" s="1"/>
  <c r="M33" i="4" a="1"/>
  <c r="M33" i="4" s="1"/>
  <c r="K27" i="4" a="1"/>
  <c r="K27" i="4" s="1"/>
  <c r="J23" i="4" a="1"/>
  <c r="J23" i="4" s="1"/>
  <c r="J38" i="4" a="1"/>
  <c r="J38" i="4" s="1"/>
  <c r="N74" i="4" a="1"/>
  <c r="N74" i="4" s="1"/>
  <c r="N17" i="4" a="1"/>
  <c r="N17" i="4" s="1"/>
  <c r="K54" i="4" a="1"/>
  <c r="K54" i="4" s="1"/>
  <c r="H64" i="4" a="1"/>
  <c r="H64" i="4" s="1"/>
  <c r="O33" i="4" a="1"/>
  <c r="O33" i="4" s="1"/>
  <c r="L70" i="4" a="1"/>
  <c r="L70" i="4" s="1"/>
  <c r="I50" i="4" a="1"/>
  <c r="I50" i="4" s="1"/>
  <c r="H50" i="4" a="1"/>
  <c r="H50" i="4" s="1"/>
  <c r="O31" i="4" a="1"/>
  <c r="O31" i="4" s="1"/>
  <c r="L68" i="4" a="1"/>
  <c r="L68" i="4" s="1"/>
  <c r="O22" i="4" a="1"/>
  <c r="O22" i="4" s="1"/>
  <c r="L59" i="4" a="1"/>
  <c r="L59" i="4" s="1"/>
  <c r="K41" i="4" a="1"/>
  <c r="K41" i="4" s="1"/>
  <c r="O77" i="4" a="1"/>
  <c r="O77" i="4" s="1"/>
  <c r="L25" i="4" a="1"/>
  <c r="L25" i="4" s="1"/>
  <c r="I62" i="4" a="1"/>
  <c r="I62" i="4" s="1"/>
  <c r="O43" i="4" a="1"/>
  <c r="O43" i="4" s="1"/>
  <c r="L80" i="4" a="1"/>
  <c r="L80" i="4" s="1"/>
  <c r="N25" i="4" a="1"/>
  <c r="N25" i="4" s="1"/>
  <c r="K62" i="4" a="1"/>
  <c r="K62" i="4" s="1"/>
  <c r="J44" i="4" a="1"/>
  <c r="J44" i="4" s="1"/>
  <c r="N80" i="4" a="1"/>
  <c r="N80" i="4" s="1"/>
  <c r="I26" i="4" a="1"/>
  <c r="I26" i="4" s="1"/>
  <c r="M62" i="4" a="1"/>
  <c r="M62" i="4" s="1"/>
  <c r="L44" i="4" a="1"/>
  <c r="L44" i="4" s="1"/>
  <c r="I81" i="4" a="1"/>
  <c r="I81" i="4" s="1"/>
  <c r="L35" i="4" a="1"/>
  <c r="L35" i="4" s="1"/>
  <c r="I72" i="4" a="1"/>
  <c r="I72" i="4" s="1"/>
  <c r="L33" i="4" a="1"/>
  <c r="L33" i="4" s="1"/>
  <c r="N44" i="4" a="1"/>
  <c r="N44" i="4" s="1"/>
  <c r="K81" i="4" a="1"/>
  <c r="K81" i="4" s="1"/>
  <c r="M35" i="4" a="1"/>
  <c r="M35" i="4" s="1"/>
  <c r="I63" i="4" a="1"/>
  <c r="I63" i="4" s="1"/>
  <c r="H45" i="4" a="1"/>
  <c r="H45" i="4" s="1"/>
  <c r="L26" i="4" a="1"/>
  <c r="L26" i="4" s="1"/>
  <c r="L42" i="4" a="1"/>
  <c r="L42" i="4" s="1"/>
  <c r="N60" i="4" a="1"/>
  <c r="N60" i="4" s="1"/>
  <c r="I79" i="4" a="1"/>
  <c r="I79" i="4" s="1"/>
  <c r="H77" i="4" a="1"/>
  <c r="H77" i="4" s="1"/>
  <c r="H35" i="4" a="1"/>
  <c r="H35" i="4" s="1"/>
  <c r="H51" i="4" a="1"/>
  <c r="H51" i="4" s="1"/>
  <c r="H67" i="4" a="1"/>
  <c r="H67" i="4" s="1"/>
  <c r="M19" i="4" a="1"/>
  <c r="M19" i="4" s="1"/>
  <c r="N28" i="4" a="1"/>
  <c r="N28" i="4" s="1"/>
  <c r="I47" i="4" a="1"/>
  <c r="I47" i="4" s="1"/>
  <c r="O69" i="4" a="1"/>
  <c r="O69" i="4" s="1"/>
  <c r="H29" i="4" a="1"/>
  <c r="H29" i="4" s="1"/>
  <c r="O21" i="4" a="1"/>
  <c r="O21" i="4" s="1"/>
  <c r="J56" i="4" a="1"/>
  <c r="J56" i="4" s="1"/>
  <c r="H30" i="4" a="1"/>
  <c r="H30" i="4" s="1"/>
  <c r="H60" i="4" a="1"/>
  <c r="H60" i="4" s="1"/>
  <c r="M51" i="4" a="1"/>
  <c r="M51" i="4" s="1"/>
  <c r="O37" i="4" a="1"/>
  <c r="O37" i="4" s="1"/>
  <c r="L74" i="4" a="1"/>
  <c r="L74" i="4" s="1"/>
  <c r="H44" i="4" a="1"/>
  <c r="H44" i="4" s="1"/>
  <c r="K65" i="4" a="1"/>
  <c r="K65" i="4" s="1"/>
  <c r="H76" i="4" a="1"/>
  <c r="H76" i="4" s="1"/>
  <c r="M67" i="4" a="1"/>
  <c r="M67" i="4" s="1"/>
  <c r="H75" i="4" a="1"/>
  <c r="H75" i="4" s="1"/>
  <c r="H28" i="4" a="1"/>
  <c r="H28" i="4" s="1"/>
  <c r="H43" i="4" a="1"/>
  <c r="H43" i="4" s="1"/>
  <c r="H59" i="4" a="1"/>
  <c r="H59" i="4" s="1"/>
  <c r="K17" i="4" a="1"/>
  <c r="K17" i="4" s="1"/>
  <c r="K33" i="4" a="1"/>
  <c r="K33" i="4" s="1"/>
  <c r="O53" i="4" a="1"/>
  <c r="O53" i="4" s="1"/>
  <c r="N76" i="4" a="1"/>
  <c r="N76" i="4" s="1"/>
  <c r="J81" i="4" a="1"/>
  <c r="J81" i="4" s="1"/>
  <c r="K49" i="4" a="1"/>
  <c r="K49" i="4" s="1"/>
  <c r="J24" i="4" a="1"/>
  <c r="J24" i="4" s="1"/>
  <c r="I31" i="4" a="1"/>
  <c r="I31" i="4" s="1"/>
  <c r="J40" i="4" a="1"/>
  <c r="J40" i="4" s="1"/>
  <c r="L58" i="4" a="1"/>
  <c r="L58" i="4" s="1"/>
  <c r="J72" i="4" a="1"/>
  <c r="J72" i="4" s="1"/>
  <c r="H61" i="4" a="1"/>
  <c r="H61" i="4" s="1"/>
  <c r="K59" i="4" a="1"/>
  <c r="K59" i="4" s="1"/>
  <c r="H54" i="4" a="1"/>
  <c r="H54" i="4" s="1"/>
  <c r="H56" i="4" a="1"/>
  <c r="H56" i="4" s="1"/>
  <c r="K18" i="4" a="1"/>
  <c r="K18" i="4" s="1"/>
  <c r="I52" i="4" a="1"/>
  <c r="I52" i="4" s="1"/>
  <c r="J57" i="4" a="1"/>
  <c r="J57" i="4" s="1"/>
  <c r="I77" i="4" a="1"/>
  <c r="I77" i="4" s="1"/>
  <c r="I20" i="4" a="1"/>
  <c r="I20" i="4" s="1"/>
  <c r="H80" i="4" a="1"/>
  <c r="H80" i="4" s="1"/>
  <c r="J36" i="4" a="1"/>
  <c r="J36" i="4" s="1"/>
  <c r="N72" i="4" a="1"/>
  <c r="N72" i="4" s="1"/>
  <c r="K52" i="4" a="1"/>
  <c r="K52" i="4" s="1"/>
  <c r="H66" i="4" a="1"/>
  <c r="H66" i="4" s="1"/>
  <c r="J34" i="4" a="1"/>
  <c r="J34" i="4" s="1"/>
  <c r="N70" i="4" a="1"/>
  <c r="N70" i="4" s="1"/>
  <c r="J25" i="4" a="1"/>
  <c r="J25" i="4" s="1"/>
  <c r="N61" i="4" a="1"/>
  <c r="N61" i="4" s="1"/>
  <c r="M43" i="4" a="1"/>
  <c r="M43" i="4" s="1"/>
  <c r="J80" i="4" a="1"/>
  <c r="J80" i="4" s="1"/>
  <c r="N27" i="4" a="1"/>
  <c r="N27" i="4" s="1"/>
  <c r="K64" i="4" a="1"/>
  <c r="K64" i="4" s="1"/>
  <c r="J46" i="4" a="1"/>
  <c r="J46" i="4" s="1"/>
  <c r="I28" i="4" a="1"/>
  <c r="I28" i="4" s="1"/>
  <c r="M64" i="4" a="1"/>
  <c r="M64" i="4" s="1"/>
  <c r="L46" i="4" a="1"/>
  <c r="L46" i="4" s="1"/>
  <c r="K28" i="4" a="1"/>
  <c r="K28" i="4" s="1"/>
  <c r="O64" i="4" a="1"/>
  <c r="O64" i="4" s="1"/>
  <c r="N46" i="4" a="1"/>
  <c r="N46" i="4" s="1"/>
  <c r="N37" i="4" a="1"/>
  <c r="N37" i="4" s="1"/>
  <c r="K74" i="4" a="1"/>
  <c r="K74" i="4" s="1"/>
  <c r="N35" i="4" a="1"/>
  <c r="N35" i="4" s="1"/>
  <c r="K72" i="4" a="1"/>
  <c r="K72" i="4" s="1"/>
  <c r="N68" i="4" a="1"/>
  <c r="N68" i="4" s="1"/>
  <c r="O16" i="4" a="1"/>
  <c r="O16" i="4" s="1"/>
  <c r="O65" i="4" a="1"/>
  <c r="O65" i="4" s="1"/>
  <c r="L40" i="4" a="1"/>
  <c r="L40" i="4" s="1"/>
  <c r="M56" i="4" a="1"/>
  <c r="M56" i="4" s="1"/>
  <c r="N42" i="4" a="1"/>
  <c r="N42" i="4" s="1"/>
  <c r="K79" i="4" a="1"/>
  <c r="K79" i="4" s="1"/>
  <c r="K22" i="4" a="1"/>
  <c r="K22" i="4" s="1"/>
  <c r="O58" i="4" a="1"/>
  <c r="O58" i="4" s="1"/>
  <c r="L38" i="4" a="1"/>
  <c r="L38" i="4" s="1"/>
  <c r="I75" i="4" a="1"/>
  <c r="I75" i="4" s="1"/>
  <c r="I18" i="4" a="1"/>
  <c r="I18" i="4" s="1"/>
  <c r="M54" i="4" a="1"/>
  <c r="M54" i="4" s="1"/>
  <c r="L36" i="4" a="1"/>
  <c r="L36" i="4" s="1"/>
  <c r="I73" i="4" a="1"/>
  <c r="I73" i="4" s="1"/>
  <c r="L27" i="4" a="1"/>
  <c r="L27" i="4" s="1"/>
  <c r="I64" i="4" a="1"/>
  <c r="I64" i="4" s="1"/>
  <c r="O45" i="4" a="1"/>
  <c r="O45" i="4" s="1"/>
  <c r="I30" i="4" a="1"/>
  <c r="I30" i="4" s="1"/>
  <c r="M66" i="4" a="1"/>
  <c r="M66" i="4" s="1"/>
  <c r="L48" i="4" a="1"/>
  <c r="L48" i="4" s="1"/>
  <c r="H24" i="4" a="1"/>
  <c r="H24" i="4" s="1"/>
  <c r="K30" i="4" a="1"/>
  <c r="K30" i="4" s="1"/>
  <c r="O66" i="4" a="1"/>
  <c r="O66" i="4" s="1"/>
  <c r="N48" i="4" a="1"/>
  <c r="N48" i="4" s="1"/>
  <c r="H26" i="4" a="1"/>
  <c r="H26" i="4" s="1"/>
  <c r="M30" i="4" a="1"/>
  <c r="M30" i="4" s="1"/>
  <c r="J67" i="4" a="1"/>
  <c r="J67" i="4" s="1"/>
  <c r="I49" i="4" a="1"/>
  <c r="I49" i="4" s="1"/>
  <c r="I40" i="4" a="1"/>
  <c r="I40" i="4" s="1"/>
  <c r="M76" i="4" a="1"/>
  <c r="M76" i="4" s="1"/>
  <c r="I38" i="4" a="1"/>
  <c r="I38" i="4" s="1"/>
  <c r="M74" i="4" a="1"/>
  <c r="M74" i="4" s="1"/>
  <c r="O40" i="4" a="1"/>
  <c r="O40" i="4" s="1"/>
  <c r="J32" i="4" a="1"/>
  <c r="J32" i="4" s="1"/>
  <c r="N34" i="4" a="1"/>
  <c r="N34" i="4" s="1"/>
  <c r="M71" i="4" a="1"/>
  <c r="M71" i="4" s="1"/>
  <c r="K73" i="4" a="1"/>
  <c r="K73" i="4" s="1"/>
  <c r="O35" i="4" a="1"/>
  <c r="O35" i="4" s="1"/>
  <c r="K77" i="4" a="1"/>
  <c r="K77" i="4" s="1"/>
  <c r="N38" i="4" a="1"/>
  <c r="N38" i="4" s="1"/>
  <c r="K75" i="4" a="1"/>
  <c r="K75" i="4" s="1"/>
  <c r="N29" i="4" a="1"/>
  <c r="N29" i="4" s="1"/>
  <c r="K66" i="4" a="1"/>
  <c r="K66" i="4" s="1"/>
  <c r="J48" i="4" a="1"/>
  <c r="J48" i="4" s="1"/>
  <c r="H22" i="4" a="1"/>
  <c r="H22" i="4" s="1"/>
  <c r="K32" i="4" a="1"/>
  <c r="K32" i="4" s="1"/>
  <c r="O68" i="4" a="1"/>
  <c r="O68" i="4" s="1"/>
  <c r="N50" i="4" a="1"/>
  <c r="N50" i="4" s="1"/>
  <c r="H39" i="4" a="1"/>
  <c r="H39" i="4" s="1"/>
  <c r="M32" i="4" a="1"/>
  <c r="M32" i="4" s="1"/>
  <c r="J69" i="4" a="1"/>
  <c r="J69" i="4" s="1"/>
  <c r="I51" i="4" a="1"/>
  <c r="I51" i="4" s="1"/>
  <c r="H41" i="4" a="1"/>
  <c r="H41" i="4" s="1"/>
  <c r="O32" i="4" a="1"/>
  <c r="O32" i="4" s="1"/>
  <c r="L69" i="4" a="1"/>
  <c r="L69" i="4" s="1"/>
  <c r="K51" i="4" a="1"/>
  <c r="K51" i="4" s="1"/>
  <c r="K42" i="4" a="1"/>
  <c r="K42" i="4" s="1"/>
  <c r="O78" i="4" a="1"/>
  <c r="O78" i="4" s="1"/>
  <c r="K40" i="4" a="1"/>
  <c r="K40" i="4" s="1"/>
  <c r="O76" i="4" a="1"/>
  <c r="O76" i="4" s="1"/>
  <c r="I35" i="4" a="1"/>
  <c r="I35" i="4" s="1"/>
  <c r="O54" i="4" a="1"/>
  <c r="O54" i="4" s="1"/>
  <c r="N47" i="4" a="1"/>
  <c r="N47" i="4" s="1"/>
  <c r="H16" i="4" a="1"/>
  <c r="H16" i="4" s="1"/>
  <c r="M77" i="4" a="1"/>
  <c r="M77" i="4" s="1"/>
  <c r="I32" i="4" a="1"/>
  <c r="I32" i="4" s="1"/>
  <c r="L50" i="4" a="1"/>
  <c r="L50" i="4" s="1"/>
  <c r="H37" i="4" a="1"/>
  <c r="H37" i="4" s="1"/>
  <c r="M34" i="4" a="1"/>
  <c r="M34" i="4" s="1"/>
  <c r="J71" i="4" a="1"/>
  <c r="J71" i="4" s="1"/>
  <c r="L16" i="4" a="1"/>
  <c r="L16" i="4" s="1"/>
  <c r="I53" i="4" a="1"/>
  <c r="I53" i="4" s="1"/>
  <c r="H55" i="4" a="1"/>
  <c r="H55" i="4" s="1"/>
  <c r="O34" i="4" a="1"/>
  <c r="O34" i="4" s="1"/>
  <c r="L71" i="4" a="1"/>
  <c r="L71" i="4" s="1"/>
  <c r="N16" i="4" a="1"/>
  <c r="N16" i="4" s="1"/>
  <c r="K53" i="4" a="1"/>
  <c r="K53" i="4" s="1"/>
  <c r="H57" i="4" a="1"/>
  <c r="H57" i="4" s="1"/>
  <c r="J35" i="4" a="1"/>
  <c r="J35" i="4" s="1"/>
  <c r="N71" i="4" a="1"/>
  <c r="N71" i="4" s="1"/>
  <c r="I17" i="4" a="1"/>
  <c r="I17" i="4" s="1"/>
  <c r="M53" i="4" a="1"/>
  <c r="M53" i="4" s="1"/>
  <c r="M44" i="4" a="1"/>
  <c r="M44" i="4" s="1"/>
  <c r="M42" i="4" a="1"/>
  <c r="M42" i="4" s="1"/>
  <c r="J79" i="4" a="1"/>
  <c r="J79" i="4" s="1"/>
  <c r="L77" i="4" a="1"/>
  <c r="L77" i="4" s="1"/>
  <c r="K16" i="4" a="1"/>
  <c r="K16" i="4" s="1"/>
  <c r="M16" i="4" a="1"/>
  <c r="M16" i="4" s="1"/>
  <c r="H48" i="4" a="1"/>
  <c r="H48" i="4" s="1"/>
  <c r="M75" i="4" a="1"/>
  <c r="M75" i="4" s="1"/>
  <c r="J59" i="4" a="1"/>
  <c r="J59" i="4" s="1"/>
  <c r="I41" i="4" a="1"/>
  <c r="I41" i="4" s="1"/>
  <c r="M68" i="4" a="1"/>
  <c r="M68" i="4" s="1"/>
  <c r="M49" i="4" a="1"/>
  <c r="M49" i="4" s="1"/>
  <c r="H32" i="4" a="1"/>
  <c r="H32" i="4" s="1"/>
  <c r="J29" i="4" a="1"/>
  <c r="J29" i="4" s="1"/>
  <c r="N65" i="4" a="1"/>
  <c r="N65" i="4" s="1"/>
  <c r="K45" i="4" a="1"/>
  <c r="K45" i="4" s="1"/>
  <c r="O81" i="4" a="1"/>
  <c r="O81" i="4" s="1"/>
  <c r="O24" i="4" a="1"/>
  <c r="O24" i="4" s="1"/>
  <c r="L61" i="4" a="1"/>
  <c r="L61" i="4" s="1"/>
  <c r="K43" i="4" a="1"/>
  <c r="K43" i="4" s="1"/>
  <c r="O79" i="4" a="1"/>
  <c r="O79" i="4" s="1"/>
  <c r="K34" i="4" a="1"/>
  <c r="K34" i="4" s="1"/>
  <c r="O70" i="4" a="1"/>
  <c r="O70" i="4" s="1"/>
  <c r="J16" i="4" a="1"/>
  <c r="J16" i="4" s="1"/>
  <c r="N52" i="4" a="1"/>
  <c r="N52" i="4" s="1"/>
  <c r="H53" i="4" a="1"/>
  <c r="H53" i="4" s="1"/>
  <c r="O36" i="4" a="1"/>
  <c r="O36" i="4" s="1"/>
  <c r="L73" i="4" a="1"/>
  <c r="L73" i="4" s="1"/>
  <c r="N18" i="4" a="1"/>
  <c r="N18" i="4" s="1"/>
  <c r="K55" i="4" a="1"/>
  <c r="K55" i="4" s="1"/>
  <c r="H71" i="4" a="1"/>
  <c r="H71" i="4" s="1"/>
  <c r="J37" i="4" a="1"/>
  <c r="J37" i="4" s="1"/>
  <c r="N73" i="4" a="1"/>
  <c r="N73" i="4" s="1"/>
  <c r="I19" i="4" a="1"/>
  <c r="I19" i="4" s="1"/>
  <c r="M55" i="4" a="1"/>
  <c r="M55" i="4" s="1"/>
  <c r="H73" i="4" a="1"/>
  <c r="H73" i="4" s="1"/>
  <c r="L37" i="4" a="1"/>
  <c r="L37" i="4" s="1"/>
  <c r="I74" i="4" a="1"/>
  <c r="I74" i="4" s="1"/>
  <c r="K19" i="4" a="1"/>
  <c r="K19" i="4" s="1"/>
  <c r="O55" i="4" a="1"/>
  <c r="O55" i="4" s="1"/>
  <c r="O46" i="4" a="1"/>
  <c r="O46" i="4" s="1"/>
  <c r="O44" i="4" a="1"/>
  <c r="O44" i="4" s="1"/>
  <c r="L81" i="4" a="1"/>
  <c r="L81" i="4" s="1"/>
  <c r="J53" i="4" a="1"/>
  <c r="J53" i="4" s="1"/>
  <c r="J66" i="4" a="1"/>
  <c r="J66" i="4" s="1"/>
  <c r="M36" i="4" a="1"/>
  <c r="M36" i="4" s="1"/>
  <c r="J73" i="4" a="1"/>
  <c r="J73" i="4" s="1"/>
  <c r="L18" i="4" a="1"/>
  <c r="L18" i="4" s="1"/>
  <c r="I55" i="4" a="1"/>
  <c r="I55" i="4" s="1"/>
  <c r="H69" i="4" a="1"/>
  <c r="H69" i="4" s="1"/>
  <c r="J39" i="4" a="1"/>
  <c r="J39" i="4" s="1"/>
  <c r="N75" i="4" a="1"/>
  <c r="N75" i="4" s="1"/>
  <c r="I21" i="4" a="1"/>
  <c r="I21" i="4" s="1"/>
  <c r="M57" i="4" a="1"/>
  <c r="M57" i="4" s="1"/>
  <c r="L39" i="4" a="1"/>
  <c r="L39" i="4" s="1"/>
  <c r="I76" i="4" a="1"/>
  <c r="I76" i="4" s="1"/>
  <c r="K21" i="4" a="1"/>
  <c r="K21" i="4" s="1"/>
  <c r="O57" i="4" a="1"/>
  <c r="O57" i="4" s="1"/>
  <c r="N39" i="4" a="1"/>
  <c r="N39" i="4" s="1"/>
  <c r="K76" i="4" a="1"/>
  <c r="K76" i="4" s="1"/>
  <c r="M21" i="4" a="1"/>
  <c r="M21" i="4" s="1"/>
  <c r="J58" i="4" a="1"/>
  <c r="J58" i="4" s="1"/>
  <c r="J49" i="4" a="1"/>
  <c r="J49" i="4" s="1"/>
  <c r="J47" i="4" a="1"/>
  <c r="J47" i="4" s="1"/>
  <c r="O71" i="4" a="1"/>
  <c r="O71" i="4" s="1"/>
  <c r="J70" i="4" a="1"/>
  <c r="J70" i="4" s="1"/>
  <c r="I45" i="4" a="1"/>
  <c r="I45" i="4" s="1"/>
  <c r="N40" i="4" a="1"/>
  <c r="N40" i="4" s="1"/>
  <c r="K70" i="4" a="1"/>
  <c r="K70" i="4" s="1"/>
  <c r="I66" i="4" a="1"/>
  <c r="I66" i="4" s="1"/>
  <c r="O47" i="4" a="1"/>
  <c r="O47" i="4" s="1"/>
  <c r="O38" i="4" a="1"/>
  <c r="O38" i="4" s="1"/>
  <c r="L75" i="4" a="1"/>
  <c r="L75" i="4" s="1"/>
  <c r="N20" i="4" a="1"/>
  <c r="N20" i="4" s="1"/>
  <c r="K57" i="4" a="1"/>
  <c r="K57" i="4" s="1"/>
  <c r="L41" i="4" a="1"/>
  <c r="L41" i="4" s="1"/>
  <c r="I78" i="4" a="1"/>
  <c r="I78" i="4" s="1"/>
  <c r="K23" i="4" a="1"/>
  <c r="K23" i="4" s="1"/>
  <c r="O59" i="4" a="1"/>
  <c r="O59" i="4" s="1"/>
  <c r="N41" i="4" a="1"/>
  <c r="N41" i="4" s="1"/>
  <c r="K78" i="4" a="1"/>
  <c r="K78" i="4" s="1"/>
  <c r="M23" i="4" a="1"/>
  <c r="M23" i="4" s="1"/>
  <c r="J60" i="4" a="1"/>
  <c r="J60" i="4" s="1"/>
  <c r="I42" i="4" a="1"/>
  <c r="I42" i="4" s="1"/>
  <c r="M78" i="4" a="1"/>
  <c r="M78" i="4" s="1"/>
  <c r="O23" i="4" a="1"/>
  <c r="O23" i="4" s="1"/>
  <c r="L60" i="4" a="1"/>
  <c r="L60" i="4" s="1"/>
  <c r="L51" i="4" a="1"/>
  <c r="L51" i="4" s="1"/>
  <c r="L49" i="4" a="1"/>
  <c r="L49" i="4" s="1"/>
  <c r="H31" i="4" a="1"/>
  <c r="H31" i="4" s="1"/>
  <c r="H36" i="4" a="1"/>
  <c r="H36" i="4" s="1"/>
  <c r="H58" i="4" a="1"/>
  <c r="H58" i="4" s="1"/>
  <c r="H33" i="4" a="1"/>
  <c r="H33" i="4" s="1"/>
  <c r="H68" i="4" a="1"/>
  <c r="H68" i="4" s="1"/>
  <c r="M31" i="4" a="1"/>
  <c r="M31" i="4" s="1"/>
  <c r="H19" i="4" a="1"/>
  <c r="H19" i="4" s="1"/>
  <c r="M24" i="4" a="1"/>
  <c r="M24" i="4" s="1"/>
  <c r="K20" i="4" a="1"/>
  <c r="K20" i="4" s="1"/>
  <c r="L63" i="4" a="1"/>
  <c r="L63" i="4" s="1"/>
  <c r="M22" i="4" a="1"/>
  <c r="M22" i="4" s="1"/>
  <c r="H47" i="4" a="1"/>
  <c r="H47" i="4" s="1"/>
  <c r="M47" i="4" a="1"/>
  <c r="M47" i="4" s="1"/>
  <c r="J27" i="4" a="1"/>
  <c r="J27" i="4" s="1"/>
  <c r="H81" i="4" a="1"/>
  <c r="H81" i="4" s="1"/>
  <c r="J54" i="4" a="1"/>
  <c r="J54" i="4" s="1"/>
  <c r="N33" i="4" a="1"/>
  <c r="N33" i="4" s="1"/>
  <c r="O49" i="4" a="1"/>
  <c r="O49" i="4" s="1"/>
  <c r="O19" i="4" a="1"/>
  <c r="O19" i="4" s="1"/>
  <c r="H79" i="4" a="1"/>
  <c r="H79" i="4" s="1"/>
  <c r="M72" i="4" a="1"/>
  <c r="M72" i="4" s="1"/>
  <c r="J52" i="4" a="1"/>
  <c r="J52" i="4" s="1"/>
  <c r="H49" i="4" a="1"/>
  <c r="H49" i="4" s="1"/>
  <c r="N31" i="4" a="1"/>
  <c r="N31" i="4" s="1"/>
  <c r="K68" i="4" a="1"/>
  <c r="K68" i="4" s="1"/>
  <c r="J50" i="4" a="1"/>
  <c r="J50" i="4" s="1"/>
  <c r="J41" i="4" a="1"/>
  <c r="J41" i="4" s="1"/>
  <c r="N77" i="4" a="1"/>
  <c r="N77" i="4" s="1"/>
  <c r="I23" i="4" a="1"/>
  <c r="I23" i="4" s="1"/>
  <c r="M59" i="4" a="1"/>
  <c r="M59" i="4" s="1"/>
  <c r="N43" i="4" a="1"/>
  <c r="N43" i="4" s="1"/>
  <c r="K80" i="4" a="1"/>
  <c r="K80" i="4" s="1"/>
  <c r="M25" i="4" a="1"/>
  <c r="M25" i="4" s="1"/>
  <c r="J62" i="4" a="1"/>
  <c r="J62" i="4" s="1"/>
  <c r="I44" i="4" a="1"/>
  <c r="I44" i="4" s="1"/>
  <c r="M80" i="4" a="1"/>
  <c r="M80" i="4" s="1"/>
  <c r="O25" i="4" a="1"/>
  <c r="O25" i="4" s="1"/>
  <c r="L62" i="4" a="1"/>
  <c r="L62" i="4" s="1"/>
  <c r="K44" i="4" a="1"/>
  <c r="K44" i="4" s="1"/>
  <c r="O80" i="4" a="1"/>
  <c r="O80" i="4" s="1"/>
  <c r="J26" i="4" a="1"/>
  <c r="J26" i="4" s="1"/>
  <c r="N62" i="4" a="1"/>
  <c r="N62" i="4" s="1"/>
  <c r="J17" i="4" a="1"/>
  <c r="J17" i="4" s="1"/>
  <c r="N53" i="4" a="1"/>
  <c r="N53" i="4" s="1"/>
  <c r="N51" i="4" a="1"/>
  <c r="N51" i="4" s="1"/>
  <c r="H46" i="4" a="1"/>
  <c r="H46" i="4" s="1"/>
  <c r="N22" i="4" a="1"/>
  <c r="N22" i="4" s="1"/>
  <c r="K35" i="4" a="1"/>
  <c r="K35" i="4" s="1"/>
  <c r="N49" i="4" a="1"/>
  <c r="N49" i="4" s="1"/>
  <c r="O63" i="4" a="1"/>
  <c r="O63" i="4" s="1"/>
  <c r="L72" i="4" a="1"/>
  <c r="L72" i="4" s="1"/>
  <c r="M20" i="4" a="1"/>
  <c r="M20" i="4" s="1"/>
  <c r="M81" i="4" a="1"/>
  <c r="M81" i="4" s="1"/>
  <c r="K47" i="4" a="1"/>
  <c r="K47" i="4" s="1"/>
  <c r="I43" i="4" a="1"/>
  <c r="I43" i="4" s="1"/>
  <c r="O51" i="4" a="1"/>
  <c r="O51" i="4" s="1"/>
  <c r="I68" i="4" a="1"/>
  <c r="I68" i="4" s="1"/>
  <c r="H18" i="4" a="1"/>
  <c r="H18" i="4" s="1"/>
  <c r="M45" i="4" a="1"/>
  <c r="M45" i="4" s="1"/>
  <c r="M17" i="4" a="1"/>
  <c r="M17" i="4" s="1"/>
  <c r="H63" i="4" a="1"/>
  <c r="H63" i="4" s="1"/>
  <c r="H34" i="4" a="1"/>
  <c r="H34" i="4" s="1"/>
  <c r="L29" i="4" a="1"/>
  <c r="L29" i="4" s="1"/>
  <c r="H20" i="4" a="1"/>
  <c r="H20" i="4" s="1"/>
  <c r="L56" i="4" a="1"/>
  <c r="L56" i="4" s="1"/>
  <c r="I36" i="4" a="1"/>
  <c r="I36" i="4" s="1"/>
  <c r="J22" i="4" a="1"/>
  <c r="J22" i="4" s="1"/>
  <c r="N58" i="4" a="1"/>
  <c r="N58" i="4" s="1"/>
  <c r="K38" i="4" a="1"/>
  <c r="K38" i="4" s="1"/>
  <c r="O74" i="4" a="1"/>
  <c r="O74" i="4" s="1"/>
  <c r="O17" i="4" a="1"/>
  <c r="O17" i="4" s="1"/>
  <c r="L54" i="4" a="1"/>
  <c r="L54" i="4" s="1"/>
  <c r="H65" i="4" a="1"/>
  <c r="H65" i="4" s="1"/>
  <c r="I34" i="4" a="1"/>
  <c r="I34" i="4" s="1"/>
  <c r="M70" i="4" a="1"/>
  <c r="M70" i="4" s="1"/>
  <c r="L52" i="4" a="1"/>
  <c r="L52" i="4" s="1"/>
  <c r="L43" i="4" a="1"/>
  <c r="L43" i="4" s="1"/>
  <c r="I80" i="4" a="1"/>
  <c r="I80" i="4" s="1"/>
  <c r="K25" i="4" a="1"/>
  <c r="K25" i="4" s="1"/>
  <c r="O61" i="4" a="1"/>
  <c r="O61" i="4" s="1"/>
  <c r="I46" i="4" a="1"/>
  <c r="I46" i="4" s="1"/>
  <c r="O27" i="4" a="1"/>
  <c r="O27" i="4" s="1"/>
  <c r="L64" i="4" a="1"/>
  <c r="L64" i="4" s="1"/>
  <c r="K46" i="4" a="1"/>
  <c r="K46" i="4" s="1"/>
  <c r="J28" i="4" a="1"/>
  <c r="J28" i="4" s="1"/>
  <c r="N64" i="4" a="1"/>
  <c r="N64" i="4" s="1"/>
  <c r="M46" i="4" a="1"/>
  <c r="M46" i="4" s="1"/>
  <c r="L28" i="4" a="1"/>
  <c r="L28" i="4" s="1"/>
  <c r="I65" i="4" a="1"/>
  <c r="I65" i="4" s="1"/>
  <c r="L19" i="4" a="1"/>
  <c r="L19" i="4" s="1"/>
  <c r="I56" i="4" a="1"/>
  <c r="I56" i="4" s="1"/>
  <c r="L17" i="4" a="1"/>
  <c r="L17" i="4" s="1"/>
  <c r="I54" i="4" a="1"/>
  <c r="I54" i="4" s="1"/>
  <c r="H62" i="4" a="1"/>
  <c r="H62" i="4" s="1"/>
  <c r="K24" i="4" a="1"/>
  <c r="K24" i="4" s="1"/>
  <c r="L45" i="4" a="1"/>
  <c r="L45" i="4" s="1"/>
  <c r="M29" i="4" a="1"/>
  <c r="M29" i="4" s="1"/>
  <c r="J61" i="4" a="1"/>
  <c r="J61" i="4" s="1"/>
  <c r="O56" i="4" a="1"/>
  <c r="O56" i="4" s="1"/>
  <c r="O26" i="4" a="1"/>
  <c r="O26" i="4" s="1"/>
  <c r="M79" i="4" a="1"/>
  <c r="M79" i="4" s="1"/>
  <c r="L31" i="4" a="1"/>
  <c r="L31" i="4" s="1"/>
  <c r="N63" i="4" a="1"/>
  <c r="N63" i="4" s="1"/>
  <c r="L24" i="4" a="1"/>
  <c r="L24" i="4" s="1"/>
  <c r="I61" i="4" a="1"/>
  <c r="I61" i="4" s="1"/>
  <c r="M40" i="4" a="1"/>
  <c r="M40" i="4" s="1"/>
  <c r="J77" i="4" a="1"/>
  <c r="J77" i="4" s="1"/>
  <c r="J20" i="4" a="1"/>
  <c r="J20" i="4" s="1"/>
  <c r="N56" i="4" a="1"/>
  <c r="N56" i="4" s="1"/>
  <c r="K36" i="4" a="1"/>
  <c r="K36" i="4" s="1"/>
  <c r="O72" i="4" a="1"/>
  <c r="O72" i="4" s="1"/>
  <c r="J18" i="4" a="1"/>
  <c r="J18" i="4" s="1"/>
  <c r="N54" i="4" a="1"/>
  <c r="N54" i="4" s="1"/>
  <c r="N45" i="4" a="1"/>
  <c r="N45" i="4" s="1"/>
  <c r="M27" i="4" a="1"/>
  <c r="M27" i="4" s="1"/>
  <c r="J64" i="4" a="1"/>
  <c r="J64" i="4" s="1"/>
  <c r="K48" i="4" a="1"/>
  <c r="K48" i="4" s="1"/>
  <c r="H23" i="4" a="1"/>
  <c r="H23" i="4" s="1"/>
  <c r="J30" i="4" a="1"/>
  <c r="J30" i="4" s="1"/>
  <c r="N66" i="4" a="1"/>
  <c r="N66" i="4" s="1"/>
  <c r="M48" i="4" a="1"/>
  <c r="M48" i="4" s="1"/>
  <c r="H25" i="4" a="1"/>
  <c r="H25" i="4" s="1"/>
  <c r="L30" i="4" a="1"/>
  <c r="L30" i="4" s="1"/>
  <c r="I67" i="4" a="1"/>
  <c r="I67" i="4" s="1"/>
  <c r="O48" i="4" a="1"/>
  <c r="O48" i="4" s="1"/>
  <c r="H27" i="4" a="1"/>
  <c r="H27" i="4" s="1"/>
  <c r="N30" i="4" a="1"/>
  <c r="N30" i="4" s="1"/>
  <c r="K67" i="4" a="1"/>
  <c r="K67" i="4" s="1"/>
  <c r="N21" i="4" a="1"/>
  <c r="N21" i="4" s="1"/>
  <c r="K58" i="4" a="1"/>
  <c r="K58" i="4" s="1"/>
  <c r="N19" i="4" a="1"/>
  <c r="N19" i="4" s="1"/>
  <c r="K56" i="4" a="1"/>
  <c r="K56" i="4" s="1"/>
  <c r="H78" i="4" a="1"/>
  <c r="H7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<sst xmlns="http://schemas.openxmlformats.org/spreadsheetml/2006/main" count="117" uniqueCount="75">
  <si>
    <t>数据源（数字化）：</t>
    <phoneticPr fontId="1" type="noConversion"/>
  </si>
  <si>
    <t>UKIP</t>
    <phoneticPr fontId="1" type="noConversion"/>
  </si>
  <si>
    <t>BrexitParty</t>
    <phoneticPr fontId="1" type="noConversion"/>
  </si>
  <si>
    <t>Conservative</t>
    <phoneticPr fontId="1" type="noConversion"/>
  </si>
  <si>
    <t>Labour</t>
    <phoneticPr fontId="1" type="noConversion"/>
  </si>
  <si>
    <t>LiberalDemorats</t>
    <phoneticPr fontId="1" type="noConversion"/>
  </si>
  <si>
    <t>Green</t>
    <phoneticPr fontId="1" type="noConversion"/>
  </si>
  <si>
    <t>ChangeUK</t>
    <phoneticPr fontId="1" type="noConversion"/>
  </si>
  <si>
    <t>SNP</t>
    <phoneticPr fontId="1" type="noConversion"/>
  </si>
  <si>
    <t>PiaidCymru</t>
    <phoneticPr fontId="1" type="noConversion"/>
  </si>
  <si>
    <t>Others</t>
    <phoneticPr fontId="1" type="noConversion"/>
  </si>
  <si>
    <t>数据源（辅助图）：</t>
    <phoneticPr fontId="1" type="noConversion"/>
  </si>
  <si>
    <t>柱形图</t>
    <phoneticPr fontId="1" type="noConversion"/>
  </si>
  <si>
    <t>UKP</t>
    <phoneticPr fontId="1" type="noConversion"/>
  </si>
  <si>
    <t>Aux11</t>
    <phoneticPr fontId="1" type="noConversion"/>
  </si>
  <si>
    <t>Aux12</t>
    <phoneticPr fontId="1" type="noConversion"/>
  </si>
  <si>
    <t>Aux13</t>
    <phoneticPr fontId="1" type="noConversion"/>
  </si>
  <si>
    <t>面积图</t>
    <phoneticPr fontId="1" type="noConversion"/>
  </si>
  <si>
    <t>Aux21</t>
    <phoneticPr fontId="1" type="noConversion"/>
  </si>
  <si>
    <t>Aux22</t>
    <phoneticPr fontId="1" type="noConversion"/>
  </si>
  <si>
    <t>Aux23</t>
    <phoneticPr fontId="1" type="noConversion"/>
  </si>
  <si>
    <t>Aux24</t>
    <phoneticPr fontId="1" type="noConversion"/>
  </si>
  <si>
    <t>2014a</t>
    <phoneticPr fontId="1" type="noConversion"/>
  </si>
  <si>
    <t>2014b</t>
    <phoneticPr fontId="1" type="noConversion"/>
  </si>
  <si>
    <t>间隔线</t>
    <phoneticPr fontId="1" type="noConversion"/>
  </si>
  <si>
    <t>2019b</t>
    <phoneticPr fontId="1" type="noConversion"/>
  </si>
  <si>
    <t>2019a</t>
    <phoneticPr fontId="1" type="noConversion"/>
  </si>
  <si>
    <t>注：英国不同年份，各主要党派拥有的欧洲议会选举投票权占比情况</t>
    <phoneticPr fontId="1" type="noConversion"/>
  </si>
  <si>
    <t>class</t>
    <phoneticPr fontId="1" type="noConversion"/>
  </si>
  <si>
    <t>President</t>
    <phoneticPr fontId="1" type="noConversion"/>
  </si>
  <si>
    <t>Vice-president</t>
    <phoneticPr fontId="1" type="noConversion"/>
  </si>
  <si>
    <t>Speaker of lower house</t>
    <phoneticPr fontId="1" type="noConversion"/>
  </si>
  <si>
    <t>Cabinet(12 of 25)</t>
    <phoneticPr fontId="1" type="noConversion"/>
  </si>
  <si>
    <t>Other ministers(11 of 49)</t>
    <phoneticPr fontId="1" type="noConversion"/>
  </si>
  <si>
    <t>State govermors(15 of 33)</t>
    <phoneticPr fontId="1" type="noConversion"/>
  </si>
  <si>
    <t>State chief ministers(8 of 31)</t>
    <phoneticPr fontId="1" type="noConversion"/>
  </si>
  <si>
    <t>number_people</t>
    <phoneticPr fontId="1" type="noConversion"/>
  </si>
  <si>
    <t>no_fullsize</t>
    <phoneticPr fontId="1" type="noConversion"/>
  </si>
  <si>
    <t>tag</t>
    <phoneticPr fontId="1" type="noConversion"/>
  </si>
  <si>
    <t>Prime minster</t>
    <phoneticPr fontId="1" type="noConversion"/>
  </si>
  <si>
    <t>Ram Nath Kovind</t>
    <phoneticPr fontId="1" type="noConversion"/>
  </si>
  <si>
    <t>Venkaiah Naidu</t>
    <phoneticPr fontId="1" type="noConversion"/>
  </si>
  <si>
    <t>Narendra modi</t>
    <phoneticPr fontId="1" type="noConversion"/>
  </si>
  <si>
    <t>Sumitra Mahajan</t>
    <phoneticPr fontId="1" type="noConversion"/>
  </si>
  <si>
    <t>注：印度政府部门的关键要员中，某家族成员占比情况</t>
    <phoneticPr fontId="1" type="noConversion"/>
  </si>
  <si>
    <t>year</t>
    <phoneticPr fontId="1" type="noConversion"/>
  </si>
  <si>
    <t>Aux1</t>
    <phoneticPr fontId="1" type="noConversion"/>
  </si>
  <si>
    <t>Aux2</t>
    <phoneticPr fontId="1" type="noConversion"/>
  </si>
  <si>
    <t>Tech</t>
    <phoneticPr fontId="1" type="noConversion"/>
  </si>
  <si>
    <t>Non-tech</t>
    <phoneticPr fontId="1" type="noConversion"/>
  </si>
  <si>
    <t>Non-rent-seek</t>
    <phoneticPr fontId="1" type="noConversion"/>
  </si>
  <si>
    <t>原始数据：</t>
    <phoneticPr fontId="1" type="noConversion"/>
  </si>
  <si>
    <t>处理一：</t>
    <phoneticPr fontId="1" type="noConversion"/>
  </si>
  <si>
    <t>处理二：</t>
    <phoneticPr fontId="1" type="noConversion"/>
  </si>
  <si>
    <t>TotalColumn</t>
    <phoneticPr fontId="1" type="noConversion"/>
  </si>
  <si>
    <t>Tosition1</t>
    <phoneticPr fontId="1" type="noConversion"/>
  </si>
  <si>
    <t>No.</t>
    <phoneticPr fontId="1" type="noConversion"/>
  </si>
  <si>
    <t>Country/Region</t>
    <phoneticPr fontId="1" type="noConversion"/>
  </si>
  <si>
    <t>EmissionsTotal</t>
    <phoneticPr fontId="1" type="noConversion"/>
  </si>
  <si>
    <t>Population</t>
    <phoneticPr fontId="1" type="noConversion"/>
  </si>
  <si>
    <t>EmissionsPer</t>
    <phoneticPr fontId="1" type="noConversion"/>
  </si>
  <si>
    <t>Global Average</t>
    <phoneticPr fontId="1" type="noConversion"/>
  </si>
  <si>
    <t>United States</t>
    <phoneticPr fontId="1" type="noConversion"/>
  </si>
  <si>
    <t>Middle East</t>
    <phoneticPr fontId="1" type="noConversion"/>
  </si>
  <si>
    <t xml:space="preserve">Europe </t>
    <phoneticPr fontId="1" type="noConversion"/>
  </si>
  <si>
    <t>China</t>
    <phoneticPr fontId="1" type="noConversion"/>
  </si>
  <si>
    <t>Americas</t>
    <phoneticPr fontId="1" type="noConversion"/>
  </si>
  <si>
    <t>Aisa Pacfic</t>
    <phoneticPr fontId="1" type="noConversion"/>
  </si>
  <si>
    <t>India</t>
    <phoneticPr fontId="1" type="noConversion"/>
  </si>
  <si>
    <t>Africa</t>
    <phoneticPr fontId="1" type="noConversion"/>
  </si>
  <si>
    <t>Average</t>
    <phoneticPr fontId="1" type="noConversion"/>
  </si>
  <si>
    <t>X-axis</t>
    <phoneticPr fontId="1" type="noConversion"/>
  </si>
  <si>
    <t>注：主要国家/地区的人口数量和人均碳排量之间的关系</t>
    <phoneticPr fontId="1" type="noConversion"/>
  </si>
  <si>
    <t>Tosition2</t>
    <phoneticPr fontId="1" type="noConversion"/>
  </si>
  <si>
    <t>Tosition3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</si>
</sst>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8"/>
      <color theme="1"/>
      <name val="等线"/>
      <family val="3"/>
      <charset val="134"/>
      <scheme val="minor"/>
    </font>
    <font>
      <b/>
      <i/>
      <sz val="14"/>
      <color theme="1"/>
      <name val="等线"/>
      <family val="3"/>
      <charset val="134"/>
      <scheme val="minor"/>
    </font>
    <font>
      <b/>
      <i/>
      <sz val="16"/>
      <color theme="1"/>
      <name val="等线"/>
      <family val="3"/>
      <charset val="134"/>
      <scheme val="minor"/>
    </font>
    <font>
      <sz val="11"/>
      <color rgb="FFF5F5F2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DD5BF"/>
        <bgColor indexed="64"/>
      </patternFill>
    </fill>
    <fill>
      <patternFill patternType="solid">
        <fgColor rgb="FF2C3E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4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71C1C"/>
      <color rgb="FF5D4037"/>
      <color rgb="FF2C3E50"/>
      <color rgb="FF8E24AA"/>
      <color rgb="FFBDC3C7"/>
      <color rgb="FF607D8B"/>
      <color rgb="FFD7CCC8"/>
      <color rgb="FF7F8C8D"/>
      <color rgb="FF34495E"/>
      <color rgb="FFF5F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57100898439534"/>
          <c:y val="0.13095956538211376"/>
          <c:w val="0.66010857894657249"/>
          <c:h val="0.79831841110516089"/>
        </c:manualLayout>
      </c:layout>
      <c:areaChart>
        <c:grouping val="percentStacked"/>
        <c:varyColors val="0"/>
        <c:ser>
          <c:idx val="13"/>
          <c:order val="13"/>
          <c:tx>
            <c:strRef>
              <c:f>对比堆积柱形图!$E$13</c:f>
              <c:strCache>
                <c:ptCount val="1"/>
                <c:pt idx="0">
                  <c:v>Aux24</c:v>
                </c:pt>
              </c:strCache>
            </c:strRef>
          </c:tx>
          <c:spPr>
            <a:solidFill>
              <a:srgbClr val="F5F5FB"/>
            </a:solidFill>
            <a:ln>
              <a:noFill/>
            </a:ln>
            <a:effectLst/>
          </c:spPr>
          <c:val>
            <c:numRef>
              <c:f>对比堆积柱形图!$E$14:$E$17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B9D-45F4-96D2-18C892DDBDFF}"/>
            </c:ext>
          </c:extLst>
        </c:ser>
        <c:ser>
          <c:idx val="14"/>
          <c:order val="14"/>
          <c:tx>
            <c:strRef>
              <c:f>对比堆积柱形图!$D$13</c:f>
              <c:strCache>
                <c:ptCount val="1"/>
                <c:pt idx="0">
                  <c:v>Aux23</c:v>
                </c:pt>
              </c:strCache>
            </c:strRef>
          </c:tx>
          <c:spPr>
            <a:solidFill>
              <a:srgbClr val="BFCAD9"/>
            </a:solidFill>
            <a:ln>
              <a:noFill/>
            </a:ln>
            <a:effectLst/>
          </c:spPr>
          <c:val>
            <c:numRef>
              <c:f>对比堆积柱形图!$D$14:$D$17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8.1999999999999993</c:v>
                </c:pt>
                <c:pt idx="2">
                  <c:v>17.2</c:v>
                </c:pt>
                <c:pt idx="3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9D-45F4-96D2-18C892DDBDFF}"/>
            </c:ext>
          </c:extLst>
        </c:ser>
        <c:ser>
          <c:idx val="15"/>
          <c:order val="15"/>
          <c:tx>
            <c:strRef>
              <c:f>对比堆积柱形图!$C$13</c:f>
              <c:strCache>
                <c:ptCount val="1"/>
                <c:pt idx="0">
                  <c:v>Aux22</c:v>
                </c:pt>
              </c:strCache>
            </c:strRef>
          </c:tx>
          <c:spPr>
            <a:solidFill>
              <a:srgbClr val="F5F5FB"/>
            </a:solidFill>
            <a:ln>
              <a:noFill/>
            </a:ln>
            <a:effectLst/>
          </c:spPr>
          <c:val>
            <c:numRef>
              <c:f>对比堆积柱形图!$C$14:$C$17</c:f>
              <c:numCache>
                <c:formatCode>General</c:formatCode>
                <c:ptCount val="4"/>
                <c:pt idx="0">
                  <c:v>16.2</c:v>
                </c:pt>
                <c:pt idx="1">
                  <c:v>16.2</c:v>
                </c:pt>
                <c:pt idx="2">
                  <c:v>10.199999999999999</c:v>
                </c:pt>
                <c:pt idx="3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B9D-45F4-96D2-18C892DDBDFF}"/>
            </c:ext>
          </c:extLst>
        </c:ser>
        <c:ser>
          <c:idx val="16"/>
          <c:order val="16"/>
          <c:tx>
            <c:strRef>
              <c:f>对比堆积柱形图!$B$13</c:f>
              <c:strCache>
                <c:ptCount val="1"/>
                <c:pt idx="0">
                  <c:v>Aux21</c:v>
                </c:pt>
              </c:strCache>
            </c:strRef>
          </c:tx>
          <c:spPr>
            <a:solidFill>
              <a:srgbClr val="BFCAD9"/>
            </a:solidFill>
            <a:ln>
              <a:noFill/>
            </a:ln>
            <a:effectLst/>
          </c:spPr>
          <c:val>
            <c:numRef>
              <c:f>对比堆积柱形图!$B$14:$B$17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16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B9D-45F4-96D2-18C892DD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488976"/>
        <c:axId val="987490896"/>
      </c:areaChart>
      <c:barChart>
        <c:barDir val="col"/>
        <c:grouping val="percentStacked"/>
        <c:varyColors val="0"/>
        <c:ser>
          <c:idx val="0"/>
          <c:order val="0"/>
          <c:tx>
            <c:strRef>
              <c:f>对比堆积柱形图!$B$9</c:f>
              <c:strCache>
                <c:ptCount val="1"/>
                <c:pt idx="0">
                  <c:v>UKP</c:v>
                </c:pt>
              </c:strCache>
            </c:strRef>
          </c:tx>
          <c:spPr>
            <a:solidFill>
              <a:srgbClr val="2C3E50"/>
            </a:solidFill>
            <a:ln w="31750" cap="rnd">
              <a:solidFill>
                <a:schemeClr val="tx1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C3E50"/>
              </a:solidFill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9D-45F4-96D2-18C892DDBDFF}"/>
              </c:ext>
            </c:extLst>
          </c:dPt>
          <c:dPt>
            <c:idx val="1"/>
            <c:invertIfNegative val="0"/>
            <c:bubble3D val="0"/>
            <c:spPr>
              <a:solidFill>
                <a:srgbClr val="2C3E50"/>
              </a:solidFill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0B9D-45F4-96D2-18C892DDBDFF}"/>
              </c:ext>
            </c:extLst>
          </c:dPt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对比堆积柱形图!$B$10:$B$11</c:f>
              <c:numCache>
                <c:formatCode>General</c:formatCode>
                <c:ptCount val="2"/>
                <c:pt idx="0">
                  <c:v>10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D-45F4-96D2-18C892DDBDFF}"/>
            </c:ext>
          </c:extLst>
        </c:ser>
        <c:ser>
          <c:idx val="1"/>
          <c:order val="1"/>
          <c:tx>
            <c:strRef>
              <c:f>对比堆积柱形图!$C$9</c:f>
              <c:strCache>
                <c:ptCount val="1"/>
                <c:pt idx="0">
                  <c:v>BrexitParty</c:v>
                </c:pt>
              </c:strCache>
            </c:strRef>
          </c:tx>
          <c:spPr>
            <a:solidFill>
              <a:srgbClr val="ECE4F8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07D8B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D13-44A0-913D-3A678AB10DA5}"/>
              </c:ext>
            </c:extLst>
          </c:dPt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对比堆积柱形图!$C$10:$C$11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D-45F4-96D2-18C892DDBDFF}"/>
            </c:ext>
          </c:extLst>
        </c:ser>
        <c:ser>
          <c:idx val="2"/>
          <c:order val="2"/>
          <c:tx>
            <c:strRef>
              <c:f>对比堆积柱形图!$D$9</c:f>
              <c:strCache>
                <c:ptCount val="1"/>
                <c:pt idx="0">
                  <c:v>Aux11</c:v>
                </c:pt>
              </c:strCache>
            </c:strRef>
          </c:tx>
          <c:spPr>
            <a:solidFill>
              <a:srgbClr val="BFCAD9"/>
            </a:solidFill>
            <a:ln>
              <a:noFill/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对比堆积柱形图!$D$10:$D$11</c:f>
              <c:numCache>
                <c:formatCode>General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D-45F4-96D2-18C892DDBDFF}"/>
            </c:ext>
          </c:extLst>
        </c:ser>
        <c:ser>
          <c:idx val="3"/>
          <c:order val="3"/>
          <c:tx>
            <c:strRef>
              <c:f>对比堆积柱形图!$E$9</c:f>
              <c:strCache>
                <c:ptCount val="1"/>
                <c:pt idx="0">
                  <c:v>Conservative</c:v>
                </c:pt>
              </c:strCache>
            </c:strRef>
          </c:tx>
          <c:spPr>
            <a:solidFill>
              <a:srgbClr val="34495E"/>
            </a:solidFill>
            <a:ln>
              <a:noFill/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对比堆积柱形图!$E$10:$E$11</c:f>
              <c:numCache>
                <c:formatCode>General</c:formatCode>
                <c:ptCount val="2"/>
                <c:pt idx="0">
                  <c:v>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D-45F4-96D2-18C892DDBDFF}"/>
            </c:ext>
          </c:extLst>
        </c:ser>
        <c:ser>
          <c:idx val="4"/>
          <c:order val="4"/>
          <c:tx>
            <c:strRef>
              <c:f>对比堆积柱形图!$F$9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7F8C8D"/>
            </a:solidFill>
            <a:ln>
              <a:noFill/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对比堆积柱形图!$F$10:$F$11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D-45F4-96D2-18C892DDBDFF}"/>
            </c:ext>
          </c:extLst>
        </c:ser>
        <c:ser>
          <c:idx val="5"/>
          <c:order val="5"/>
          <c:tx>
            <c:strRef>
              <c:f>对比堆积柱形图!$G$9</c:f>
              <c:strCache>
                <c:ptCount val="1"/>
                <c:pt idx="0">
                  <c:v>Aux12</c:v>
                </c:pt>
              </c:strCache>
            </c:strRef>
          </c:tx>
          <c:spPr>
            <a:solidFill>
              <a:srgbClr val="BFCAD9"/>
            </a:solidFill>
            <a:ln>
              <a:noFill/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对比堆积柱形图!$G$10:$G$11</c:f>
              <c:numCache>
                <c:formatCode>General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9D-45F4-96D2-18C892DDBDFF}"/>
            </c:ext>
          </c:extLst>
        </c:ser>
        <c:ser>
          <c:idx val="6"/>
          <c:order val="6"/>
          <c:tx>
            <c:strRef>
              <c:f>对比堆积柱形图!$H$9</c:f>
              <c:strCache>
                <c:ptCount val="1"/>
                <c:pt idx="0">
                  <c:v>LiberalDemorats</c:v>
                </c:pt>
              </c:strCache>
            </c:strRef>
          </c:tx>
          <c:spPr>
            <a:solidFill>
              <a:srgbClr val="BDC3C7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对比堆积柱形图!$H$10:$H$11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9D-45F4-96D2-18C892DDBDFF}"/>
            </c:ext>
          </c:extLst>
        </c:ser>
        <c:ser>
          <c:idx val="7"/>
          <c:order val="7"/>
          <c:tx>
            <c:strRef>
              <c:f>对比堆积柱形图!$I$9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D7CCC8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对比堆积柱形图!$I$10:$I$11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9D-45F4-96D2-18C892DDBDFF}"/>
            </c:ext>
          </c:extLst>
        </c:ser>
        <c:ser>
          <c:idx val="8"/>
          <c:order val="8"/>
          <c:tx>
            <c:strRef>
              <c:f>对比堆积柱形图!$J$9</c:f>
              <c:strCache>
                <c:ptCount val="1"/>
                <c:pt idx="0">
                  <c:v>ChangeUK</c:v>
                </c:pt>
              </c:strCache>
            </c:strRef>
          </c:tx>
          <c:spPr>
            <a:solidFill>
              <a:srgbClr val="5D4037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D4037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9D-45F4-96D2-18C892DDBDFF}"/>
              </c:ext>
            </c:extLst>
          </c:dPt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对比堆积柱形图!$J$10:$J$11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9D-45F4-96D2-18C892DDBDFF}"/>
            </c:ext>
          </c:extLst>
        </c:ser>
        <c:ser>
          <c:idx val="9"/>
          <c:order val="9"/>
          <c:tx>
            <c:strRef>
              <c:f>对比堆积柱形图!$K$9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rgbClr val="B71C1C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对比堆积柱形图!$K$10:$K$11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9D-45F4-96D2-18C892DDBDFF}"/>
            </c:ext>
          </c:extLst>
        </c:ser>
        <c:ser>
          <c:idx val="10"/>
          <c:order val="10"/>
          <c:tx>
            <c:strRef>
              <c:f>对比堆积柱形图!$L$9</c:f>
              <c:strCache>
                <c:ptCount val="1"/>
                <c:pt idx="0">
                  <c:v>PiaidCymru</c:v>
                </c:pt>
              </c:strCache>
            </c:strRef>
          </c:tx>
          <c:spPr>
            <a:solidFill>
              <a:srgbClr val="EBDFFA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对比堆积柱形图!$L$10:$L$11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9D-45F4-96D2-18C892DDBDFF}"/>
            </c:ext>
          </c:extLst>
        </c:ser>
        <c:ser>
          <c:idx val="11"/>
          <c:order val="11"/>
          <c:tx>
            <c:strRef>
              <c:f>对比堆积柱形图!$M$9</c:f>
              <c:strCache>
                <c:ptCount val="1"/>
                <c:pt idx="0">
                  <c:v>Aux13</c:v>
                </c:pt>
              </c:strCache>
            </c:strRef>
          </c:tx>
          <c:spPr>
            <a:solidFill>
              <a:srgbClr val="BFCAD9"/>
            </a:solidFill>
            <a:ln>
              <a:noFill/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对比堆积柱形图!$M$10:$M$11</c:f>
              <c:numCache>
                <c:formatCode>General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9D-45F4-96D2-18C892DDBDFF}"/>
            </c:ext>
          </c:extLst>
        </c:ser>
        <c:ser>
          <c:idx val="12"/>
          <c:order val="12"/>
          <c:tx>
            <c:strRef>
              <c:f>对比堆积柱形图!$N$9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E24AA"/>
            </a:solidFill>
            <a:ln>
              <a:noFill/>
            </a:ln>
            <a:effectLst/>
          </c:spPr>
          <c:invertIfNegative val="0"/>
          <c:cat>
            <c:numRef>
              <c:f>对比堆积柱形图!$A$10:$A$11</c:f>
              <c:numCache>
                <c:formatCode>General</c:formatCode>
                <c:ptCount val="2"/>
                <c:pt idx="0">
                  <c:v>2014</c:v>
                </c:pt>
                <c:pt idx="1">
                  <c:v>2019</c:v>
                </c:pt>
              </c:numCache>
            </c:numRef>
          </c:cat>
          <c:val>
            <c:numRef>
              <c:f>对比堆积柱形图!$N$10:$N$11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9D-45F4-96D2-18C892DD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100"/>
        <c:axId val="571216480"/>
        <c:axId val="571216960"/>
      </c:barChart>
      <c:catAx>
        <c:axId val="57121648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216960"/>
        <c:crosses val="autoZero"/>
        <c:auto val="1"/>
        <c:lblAlgn val="ctr"/>
        <c:lblOffset val="0"/>
        <c:noMultiLvlLbl val="0"/>
      </c:catAx>
      <c:valAx>
        <c:axId val="571216960"/>
        <c:scaling>
          <c:orientation val="maxMin"/>
        </c:scaling>
        <c:delete val="1"/>
        <c:axPos val="l"/>
        <c:numFmt formatCode="0%" sourceLinked="1"/>
        <c:majorTickMark val="none"/>
        <c:minorTickMark val="none"/>
        <c:tickLblPos val="nextTo"/>
        <c:crossAx val="571216480"/>
        <c:crosses val="autoZero"/>
        <c:crossBetween val="between"/>
      </c:valAx>
      <c:valAx>
        <c:axId val="98749089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987488976"/>
        <c:crosses val="max"/>
        <c:crossBetween val="between"/>
      </c:valAx>
      <c:catAx>
        <c:axId val="987488976"/>
        <c:scaling>
          <c:orientation val="minMax"/>
        </c:scaling>
        <c:delete val="0"/>
        <c:axPos val="t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7490896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96520091919603"/>
          <c:y val="4.4573556769595943E-2"/>
          <c:w val="0.69144566039782474"/>
          <c:h val="0.928702243181279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单元图!$C$1</c:f>
              <c:strCache>
                <c:ptCount val="1"/>
                <c:pt idx="0">
                  <c:v>number_people</c:v>
                </c:pt>
              </c:strCache>
            </c:strRef>
          </c:tx>
          <c:spPr>
            <a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Lbls>
            <c:dLbl>
              <c:idx val="0"/>
              <c:layout>
                <c:manualLayout>
                  <c:x val="-6.2627968171184425E-3"/>
                  <c:y val="-1.1734747761596864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998198-E6DC-449C-92D4-6F253B5ED2F7}" type="CELLRANGE">
                      <a:rPr lang="en-US" altLang="zh-CN"/>
                      <a:pPr>
                        <a:defRPr sz="105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39769844682639"/>
                      <c:h val="0.1151713859910581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B295-4E88-BECC-1604643AFC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295-4E88-BECC-1604643AFCD8}"/>
                </c:ext>
              </c:extLst>
            </c:dLbl>
            <c:dLbl>
              <c:idx val="2"/>
              <c:layout>
                <c:manualLayout>
                  <c:x val="-1.5656868759394208E-2"/>
                  <c:y val="4.6938991046387456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D349D6F-E01E-4D8B-B071-00FE173D166B}" type="CELLRANGE">
                      <a:rPr lang="en-US" altLang="zh-CN"/>
                      <a:pPr>
                        <a:defRPr sz="105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39215562507637"/>
                      <c:h val="0.1092101341281669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B295-4E88-BECC-1604643AFC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295-4E88-BECC-1604643AFCD8}"/>
                </c:ext>
              </c:extLst>
            </c:dLbl>
            <c:dLbl>
              <c:idx val="4"/>
              <c:layout>
                <c:manualLayout>
                  <c:x val="-2.9748284881312616E-2"/>
                  <c:y val="1.490899703110908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837933-C41A-4C36-9A63-BCFC56BB81B9}" type="CELLRANGE">
                      <a:rPr lang="en-US" altLang="zh-CN" sz="1050"/>
                      <a:pPr>
                        <a:defRPr sz="105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783224383681618"/>
                      <c:h val="7.64232488822652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B295-4E88-BECC-1604643AFC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295-4E88-BECC-1604643AFCD8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3B0ECC-8488-4CBB-AFB6-A39E4F5314CD}" type="CELLRANGE">
                      <a:rPr lang="en-US" altLang="zh-CN"/>
                      <a:pPr>
                        <a:defRPr sz="1050"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 alt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32832835597137"/>
                      <c:h val="7.94038748137108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B295-4E88-BECC-1604643AFC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295-4E88-BECC-1604643AFCD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F7E2D6-BAB6-4354-9694-3119C8798E5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295-4E88-BECC-1604643AFC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FD716FD-DC5A-4C5E-A991-62B7976028A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295-4E88-BECC-1604643AFCD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295-4E88-BECC-1604643AFC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782A071-4C06-412E-8BBA-B5C87B1AA5E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295-4E88-BECC-1604643AFCD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4FC749B-235A-4C31-8778-773FA7C1366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295-4E88-BECC-1604643AFC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F3555B1-6A6C-440C-9569-68C28EF3B10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295-4E88-BECC-1604643AFCD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295-4E88-BECC-1604643AFC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7F39A5C-D419-421D-B5DE-A55E37285FD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295-4E88-BECC-1604643AFCD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E808095-793A-490A-8BEC-276C67E9152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295-4E88-BECC-1604643AFC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295-4E88-BECC-1604643AFCD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45E8BC3-DB2A-4D21-A905-5A85C816837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295-4E88-BECC-1604643AFC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6A25424-A77E-42CF-AC7A-CD59FF256B1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295-4E88-BECC-1604643AF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单元图!$A$3:$A$22</c:f>
              <c:strCache>
                <c:ptCount val="20"/>
                <c:pt idx="0">
                  <c:v>President</c:v>
                </c:pt>
                <c:pt idx="2">
                  <c:v>Vice-president</c:v>
                </c:pt>
                <c:pt idx="4">
                  <c:v>Prime minster</c:v>
                </c:pt>
                <c:pt idx="6">
                  <c:v>Speaker of lower house</c:v>
                </c:pt>
                <c:pt idx="8">
                  <c:v>Cabinet(12 of 25)</c:v>
                </c:pt>
                <c:pt idx="9">
                  <c:v>Cabinet(12 of 25)</c:v>
                </c:pt>
                <c:pt idx="11">
                  <c:v>Other ministers(11 of 49)</c:v>
                </c:pt>
                <c:pt idx="12">
                  <c:v>Other ministers(11 of 49)</c:v>
                </c:pt>
                <c:pt idx="13">
                  <c:v>Other ministers(11 of 49)</c:v>
                </c:pt>
                <c:pt idx="15">
                  <c:v>State govermors(15 of 33)</c:v>
                </c:pt>
                <c:pt idx="16">
                  <c:v>State govermors(15 of 33)</c:v>
                </c:pt>
                <c:pt idx="18">
                  <c:v>State chief ministers(8 of 31)</c:v>
                </c:pt>
                <c:pt idx="19">
                  <c:v>State chief ministers(8 of 31)</c:v>
                </c:pt>
              </c:strCache>
            </c:strRef>
          </c:cat>
          <c:val>
            <c:numRef>
              <c:f>单元图!$C$3:$C$22</c:f>
              <c:numCache>
                <c:formatCode>General</c:formatCode>
                <c:ptCount val="20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6</c:v>
                </c:pt>
                <c:pt idx="9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5">
                  <c:v>8</c:v>
                </c:pt>
                <c:pt idx="16">
                  <c:v>7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单元图!$E$3:$E$22</c15:f>
                <c15:dlblRangeCache>
                  <c:ptCount val="20"/>
                  <c:pt idx="0">
                    <c:v>Ram Nath Kovind</c:v>
                  </c:pt>
                  <c:pt idx="2">
                    <c:v>Venkaiah Naidu</c:v>
                  </c:pt>
                  <c:pt idx="4">
                    <c:v>Narendra modi</c:v>
                  </c:pt>
                  <c:pt idx="6">
                    <c:v>Sumitra Mahajan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295-4E88-BECC-1604643AFCD8}"/>
            </c:ext>
          </c:extLst>
        </c:ser>
        <c:ser>
          <c:idx val="1"/>
          <c:order val="1"/>
          <c:tx>
            <c:strRef>
              <c:f>单元图!$D$1</c:f>
              <c:strCache>
                <c:ptCount val="1"/>
                <c:pt idx="0">
                  <c:v>no_fullsize</c:v>
                </c:pt>
              </c:strCache>
            </c:strRef>
          </c:tx>
          <c:spPr>
            <a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Lbls>
            <c:delete val="1"/>
          </c:dLbls>
          <c:cat>
            <c:strRef>
              <c:f>单元图!$A$3:$A$22</c:f>
              <c:strCache>
                <c:ptCount val="20"/>
                <c:pt idx="0">
                  <c:v>President</c:v>
                </c:pt>
                <c:pt idx="2">
                  <c:v>Vice-president</c:v>
                </c:pt>
                <c:pt idx="4">
                  <c:v>Prime minster</c:v>
                </c:pt>
                <c:pt idx="6">
                  <c:v>Speaker of lower house</c:v>
                </c:pt>
                <c:pt idx="8">
                  <c:v>Cabinet(12 of 25)</c:v>
                </c:pt>
                <c:pt idx="9">
                  <c:v>Cabinet(12 of 25)</c:v>
                </c:pt>
                <c:pt idx="11">
                  <c:v>Other ministers(11 of 49)</c:v>
                </c:pt>
                <c:pt idx="12">
                  <c:v>Other ministers(11 of 49)</c:v>
                </c:pt>
                <c:pt idx="13">
                  <c:v>Other ministers(11 of 49)</c:v>
                </c:pt>
                <c:pt idx="15">
                  <c:v>State govermors(15 of 33)</c:v>
                </c:pt>
                <c:pt idx="16">
                  <c:v>State govermors(15 of 33)</c:v>
                </c:pt>
                <c:pt idx="18">
                  <c:v>State chief ministers(8 of 31)</c:v>
                </c:pt>
                <c:pt idx="19">
                  <c:v>State chief ministers(8 of 31)</c:v>
                </c:pt>
              </c:strCache>
            </c:strRef>
          </c:cat>
          <c:val>
            <c:numRef>
              <c:f>单元图!$D$3:$D$22</c:f>
              <c:numCache>
                <c:formatCode>General</c:formatCode>
                <c:ptCount val="20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13</c:v>
                </c:pt>
                <c:pt idx="9">
                  <c:v>12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5">
                  <c:v>17</c:v>
                </c:pt>
                <c:pt idx="16">
                  <c:v>16</c:v>
                </c:pt>
                <c:pt idx="18">
                  <c:v>17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5-4E88-BECC-1604643AFCD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单元图!$A$3:$A$22</c:f>
              <c:strCache>
                <c:ptCount val="20"/>
                <c:pt idx="0">
                  <c:v>President</c:v>
                </c:pt>
                <c:pt idx="2">
                  <c:v>Vice-president</c:v>
                </c:pt>
                <c:pt idx="4">
                  <c:v>Prime minster</c:v>
                </c:pt>
                <c:pt idx="6">
                  <c:v>Speaker of lower house</c:v>
                </c:pt>
                <c:pt idx="8">
                  <c:v>Cabinet(12 of 25)</c:v>
                </c:pt>
                <c:pt idx="9">
                  <c:v>Cabinet(12 of 25)</c:v>
                </c:pt>
                <c:pt idx="11">
                  <c:v>Other ministers(11 of 49)</c:v>
                </c:pt>
                <c:pt idx="12">
                  <c:v>Other ministers(11 of 49)</c:v>
                </c:pt>
                <c:pt idx="13">
                  <c:v>Other ministers(11 of 49)</c:v>
                </c:pt>
                <c:pt idx="15">
                  <c:v>State govermors(15 of 33)</c:v>
                </c:pt>
                <c:pt idx="16">
                  <c:v>State govermors(15 of 33)</c:v>
                </c:pt>
                <c:pt idx="18">
                  <c:v>State chief ministers(8 of 31)</c:v>
                </c:pt>
                <c:pt idx="19">
                  <c:v>State chief ministers(8 of 31)</c:v>
                </c:pt>
              </c:strCache>
            </c:strRef>
          </c:cat>
          <c:val>
            <c:numRef>
              <c:f>单元图!$A$3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295-4E88-BECC-1604643AFC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681768064"/>
        <c:axId val="681767584"/>
      </c:barChart>
      <c:catAx>
        <c:axId val="681768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1767584"/>
        <c:crosses val="autoZero"/>
        <c:auto val="1"/>
        <c:lblAlgn val="ctr"/>
        <c:lblOffset val="100"/>
        <c:noMultiLvlLbl val="0"/>
      </c:catAx>
      <c:valAx>
        <c:axId val="681767584"/>
        <c:scaling>
          <c:orientation val="minMax"/>
          <c:max val="18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1768064"/>
        <c:crosses val="autoZero"/>
        <c:crossBetween val="between"/>
      </c:valAx>
      <c:spPr>
        <a:solidFill>
          <a:srgbClr val="F5F5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7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6876508921926334E-2"/>
          <c:w val="0.97563021473983724"/>
          <c:h val="0.91313457474696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簇状堆积柱形图!$B$12</c:f>
              <c:strCache>
                <c:ptCount val="1"/>
                <c:pt idx="0">
                  <c:v>Aux1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簇状堆积柱形图!$G$13:$G$20</c:f>
              <c:numCache>
                <c:formatCode>00</c:formatCode>
                <c:ptCount val="8"/>
                <c:pt idx="0">
                  <c:v>2004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</c:numCache>
            </c:numRef>
          </c:cat>
          <c:val>
            <c:numRef>
              <c:f>簇状堆积柱形图!$B$13:$B$20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0-40F5-B7D7-33DCD3FA88DD}"/>
            </c:ext>
          </c:extLst>
        </c:ser>
        <c:ser>
          <c:idx val="1"/>
          <c:order val="1"/>
          <c:tx>
            <c:strRef>
              <c:f>簇状堆积柱形图!$C$12</c:f>
              <c:strCache>
                <c:ptCount val="1"/>
                <c:pt idx="0">
                  <c:v>Aux2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簇状堆积柱形图!$G$13:$G$20</c:f>
              <c:numCache>
                <c:formatCode>00</c:formatCode>
                <c:ptCount val="8"/>
                <c:pt idx="0">
                  <c:v>2004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</c:numCache>
            </c:numRef>
          </c:cat>
          <c:val>
            <c:numRef>
              <c:f>簇状堆积柱形图!$C$13:$C$20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0-40F5-B7D7-33DCD3FA88DD}"/>
            </c:ext>
          </c:extLst>
        </c:ser>
        <c:ser>
          <c:idx val="4"/>
          <c:order val="4"/>
          <c:tx>
            <c:strRef>
              <c:f>簇状堆积柱形图!$F$12</c:f>
              <c:strCache>
                <c:ptCount val="1"/>
                <c:pt idx="0">
                  <c:v>Non-rent-seek</c:v>
                </c:pt>
              </c:strCache>
            </c:strRef>
          </c:tx>
          <c:spPr>
            <a:solidFill>
              <a:srgbClr val="2C3E50"/>
            </a:solidFill>
            <a:ln>
              <a:noFill/>
            </a:ln>
            <a:effectLst/>
          </c:spPr>
          <c:invertIfNegative val="0"/>
          <c:cat>
            <c:numRef>
              <c:f>簇状堆积柱形图!$G$13:$G$20</c:f>
              <c:numCache>
                <c:formatCode>00</c:formatCode>
                <c:ptCount val="8"/>
                <c:pt idx="0">
                  <c:v>2004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</c:numCache>
            </c:numRef>
          </c:cat>
          <c:val>
            <c:numRef>
              <c:f>簇状堆积柱形图!$F$13:$F$20</c:f>
              <c:numCache>
                <c:formatCode>General</c:formatCode>
                <c:ptCount val="8"/>
                <c:pt idx="0">
                  <c:v>3.9</c:v>
                </c:pt>
                <c:pt idx="1">
                  <c:v>4.05</c:v>
                </c:pt>
                <c:pt idx="2">
                  <c:v>4.7</c:v>
                </c:pt>
                <c:pt idx="3">
                  <c:v>4.1500000000000004</c:v>
                </c:pt>
                <c:pt idx="4">
                  <c:v>4.5999999999999996</c:v>
                </c:pt>
                <c:pt idx="5">
                  <c:v>6.8</c:v>
                </c:pt>
                <c:pt idx="6">
                  <c:v>7.5</c:v>
                </c:pt>
                <c:pt idx="7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0-40F5-B7D7-33DCD3FA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22306192"/>
        <c:axId val="722306672"/>
      </c:barChart>
      <c:barChart>
        <c:barDir val="col"/>
        <c:grouping val="stacked"/>
        <c:varyColors val="0"/>
        <c:ser>
          <c:idx val="2"/>
          <c:order val="2"/>
          <c:tx>
            <c:strRef>
              <c:f>簇状堆积柱形图!$D$12</c:f>
              <c:strCache>
                <c:ptCount val="1"/>
                <c:pt idx="0">
                  <c:v>Tech</c:v>
                </c:pt>
              </c:strCache>
            </c:strRef>
          </c:tx>
          <c:spPr>
            <a:solidFill>
              <a:srgbClr val="5D4037"/>
            </a:solidFill>
            <a:ln>
              <a:noFill/>
            </a:ln>
            <a:effectLst/>
          </c:spPr>
          <c:invertIfNegative val="0"/>
          <c:val>
            <c:numRef>
              <c:f>簇状堆积柱形图!$D$13:$D$20</c:f>
              <c:numCache>
                <c:formatCode>General</c:formatCode>
                <c:ptCount val="8"/>
                <c:pt idx="0">
                  <c:v>0.2</c:v>
                </c:pt>
                <c:pt idx="1">
                  <c:v>0.4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0-40F5-B7D7-33DCD3FA88DD}"/>
            </c:ext>
          </c:extLst>
        </c:ser>
        <c:ser>
          <c:idx val="3"/>
          <c:order val="3"/>
          <c:tx>
            <c:strRef>
              <c:f>簇状堆积柱形图!$E$12</c:f>
              <c:strCache>
                <c:ptCount val="1"/>
                <c:pt idx="0">
                  <c:v>Non-tech</c:v>
                </c:pt>
              </c:strCache>
            </c:strRef>
          </c:tx>
          <c:spPr>
            <a:solidFill>
              <a:srgbClr val="D7CCC8"/>
            </a:solidFill>
            <a:ln>
              <a:noFill/>
            </a:ln>
            <a:effectLst/>
          </c:spPr>
          <c:invertIfNegative val="0"/>
          <c:val>
            <c:numRef>
              <c:f>簇状堆积柱形图!$E$13:$E$20</c:f>
              <c:numCache>
                <c:formatCode>General</c:formatCode>
                <c:ptCount val="8"/>
                <c:pt idx="0">
                  <c:v>0.5</c:v>
                </c:pt>
                <c:pt idx="1">
                  <c:v>0.8</c:v>
                </c:pt>
                <c:pt idx="2">
                  <c:v>1.3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1.2</c:v>
                </c:pt>
                <c:pt idx="7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0-40F5-B7D7-33DCD3FA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840838256"/>
        <c:axId val="840835856"/>
      </c:barChart>
      <c:catAx>
        <c:axId val="722306192"/>
        <c:scaling>
          <c:orientation val="minMax"/>
        </c:scaling>
        <c:delete val="0"/>
        <c:axPos val="b"/>
        <c:numFmt formatCode="00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306672"/>
        <c:crosses val="autoZero"/>
        <c:auto val="1"/>
        <c:lblAlgn val="ctr"/>
        <c:lblOffset val="100"/>
        <c:noMultiLvlLbl val="0"/>
      </c:catAx>
      <c:valAx>
        <c:axId val="722306672"/>
        <c:scaling>
          <c:orientation val="minMax"/>
          <c:max val="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306192"/>
        <c:crosses val="autoZero"/>
        <c:crossBetween val="between"/>
        <c:majorUnit val="2"/>
      </c:valAx>
      <c:valAx>
        <c:axId val="840835856"/>
        <c:scaling>
          <c:orientation val="minMax"/>
          <c:max val="9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838256"/>
        <c:crosses val="max"/>
        <c:crossBetween val="between"/>
        <c:majorUnit val="2"/>
      </c:valAx>
      <c:catAx>
        <c:axId val="840838256"/>
        <c:scaling>
          <c:orientation val="minMax"/>
        </c:scaling>
        <c:delete val="1"/>
        <c:axPos val="b"/>
        <c:majorTickMark val="out"/>
        <c:minorTickMark val="none"/>
        <c:tickLblPos val="nextTo"/>
        <c:crossAx val="840835856"/>
        <c:crosses val="autoZero"/>
        <c:auto val="1"/>
        <c:lblAlgn val="ctr"/>
        <c:lblOffset val="100"/>
        <c:noMultiLvlLbl val="0"/>
      </c:catAx>
      <c:spPr>
        <a:solidFill>
          <a:srgbClr val="F5F5F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03550802528746E-2"/>
          <c:y val="3.7649868848538999E-2"/>
          <c:w val="0.93032182992056289"/>
          <c:h val="0.9145100261342018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不等宽柱形图!$H$1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5A526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449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080-4410-A512-B814743A8252}"/>
              </c:ext>
            </c:extLst>
          </c:dPt>
          <c:dPt>
            <c:idx val="1"/>
            <c:invertIfNegative val="0"/>
            <c:bubble3D val="0"/>
            <c:spPr>
              <a:solidFill>
                <a:srgbClr val="3449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80-4410-A512-B814743A8252}"/>
              </c:ext>
            </c:extLst>
          </c:dPt>
          <c:dPt>
            <c:idx val="2"/>
            <c:invertIfNegative val="0"/>
            <c:bubble3D val="0"/>
            <c:spPr>
              <a:solidFill>
                <a:srgbClr val="3449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80-4410-A512-B814743A8252}"/>
              </c:ext>
            </c:extLst>
          </c:dPt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不等宽柱形图!$H$2:$H$81</c:f>
              <c:numCache>
                <c:formatCode>General</c:formatCode>
                <c:ptCount val="80"/>
                <c:pt idx="0">
                  <c:v>17.7</c:v>
                </c:pt>
                <c:pt idx="1">
                  <c:v>17.7</c:v>
                </c:pt>
                <c:pt idx="2">
                  <c:v>17.7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E-46E3-AE33-1CFF31E8EE79}"/>
            </c:ext>
          </c:extLst>
        </c:ser>
        <c:ser>
          <c:idx val="1"/>
          <c:order val="2"/>
          <c:tx>
            <c:strRef>
              <c:f>不等宽柱形图!$I$1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rgbClr val="7B7CFA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F8C8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80-4410-A512-B814743A8252}"/>
              </c:ext>
            </c:extLst>
          </c:dPt>
          <c:dPt>
            <c:idx val="4"/>
            <c:invertIfNegative val="0"/>
            <c:bubble3D val="0"/>
            <c:spPr>
              <a:solidFill>
                <a:srgbClr val="7F8C8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80-4410-A512-B814743A8252}"/>
              </c:ext>
            </c:extLst>
          </c:dPt>
          <c:dPt>
            <c:idx val="5"/>
            <c:invertIfNegative val="0"/>
            <c:bubble3D val="0"/>
            <c:spPr>
              <a:solidFill>
                <a:srgbClr val="7F8C8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80-4410-A512-B814743A8252}"/>
              </c:ext>
            </c:extLst>
          </c:dPt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不等宽柱形图!$I$2:$I$81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E-46E3-AE33-1CFF31E8EE79}"/>
            </c:ext>
          </c:extLst>
        </c:ser>
        <c:ser>
          <c:idx val="2"/>
          <c:order val="3"/>
          <c:tx>
            <c:strRef>
              <c:f>不等宽柱形图!$J$1</c:f>
              <c:strCache>
                <c:ptCount val="1"/>
                <c:pt idx="0">
                  <c:v>Europe </c:v>
                </c:pt>
              </c:strCache>
            </c:strRef>
          </c:tx>
          <c:spPr>
            <a:solidFill>
              <a:srgbClr val="D7CCC8"/>
            </a:solidFill>
            <a:ln>
              <a:noFill/>
            </a:ln>
            <a:effectLst/>
          </c:spPr>
          <c:invertIfNegative val="0"/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不等宽柱形图!$J$2:$J$81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E-46E3-AE33-1CFF31E8EE79}"/>
            </c:ext>
          </c:extLst>
        </c:ser>
        <c:ser>
          <c:idx val="3"/>
          <c:order val="4"/>
          <c:tx>
            <c:strRef>
              <c:f>不等宽柱形图!$K$1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2C3E50"/>
            </a:solidFill>
            <a:ln>
              <a:noFill/>
            </a:ln>
            <a:effectLst/>
          </c:spPr>
          <c:invertIfNegative val="0"/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不等宽柱形图!$K$2:$K$81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1E-46E3-AE33-1CFF31E8EE79}"/>
            </c:ext>
          </c:extLst>
        </c:ser>
        <c:ser>
          <c:idx val="4"/>
          <c:order val="5"/>
          <c:tx>
            <c:strRef>
              <c:f>不等宽柱形图!$L$1</c:f>
              <c:strCache>
                <c:ptCount val="1"/>
                <c:pt idx="0">
                  <c:v>Americas</c:v>
                </c:pt>
              </c:strCache>
            </c:strRef>
          </c:tx>
          <c:spPr>
            <a:solidFill>
              <a:srgbClr val="607D8B"/>
            </a:solidFill>
            <a:ln>
              <a:noFill/>
            </a:ln>
            <a:effectLst/>
          </c:spPr>
          <c:invertIfNegative val="0"/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不等宽柱形图!$L$2:$L$81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3.4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E-46E3-AE33-1CFF31E8EE79}"/>
            </c:ext>
          </c:extLst>
        </c:ser>
        <c:ser>
          <c:idx val="5"/>
          <c:order val="6"/>
          <c:tx>
            <c:strRef>
              <c:f>不等宽柱形图!$M$1</c:f>
              <c:strCache>
                <c:ptCount val="1"/>
                <c:pt idx="0">
                  <c:v>Aisa Pacfic</c:v>
                </c:pt>
              </c:strCache>
            </c:strRef>
          </c:tx>
          <c:spPr>
            <a:solidFill>
              <a:srgbClr val="BDC3C7"/>
            </a:solidFill>
            <a:ln>
              <a:noFill/>
            </a:ln>
            <a:effectLst/>
          </c:spPr>
          <c:invertIfNegative val="0"/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不等宽柱形图!$M$2:$M$81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1E-46E3-AE33-1CFF31E8EE79}"/>
            </c:ext>
          </c:extLst>
        </c:ser>
        <c:ser>
          <c:idx val="6"/>
          <c:order val="7"/>
          <c:tx>
            <c:strRef>
              <c:f>不等宽柱形图!$N$1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8E24AA"/>
            </a:solidFill>
            <a:ln>
              <a:noFill/>
            </a:ln>
            <a:effectLst/>
          </c:spPr>
          <c:invertIfNegative val="0"/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不等宽柱形图!$N$2:$N$81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1E-46E3-AE33-1CFF31E8EE79}"/>
            </c:ext>
          </c:extLst>
        </c:ser>
        <c:ser>
          <c:idx val="7"/>
          <c:order val="8"/>
          <c:tx>
            <c:strRef>
              <c:f>不等宽柱形图!$O$1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5D4037"/>
            </a:solidFill>
            <a:ln>
              <a:noFill/>
            </a:ln>
            <a:effectLst/>
          </c:spPr>
          <c:invertIfNegative val="0"/>
          <c:cat>
            <c:numRef>
              <c:f>不等宽柱形图!$Q$2:$Q$81</c:f>
              <c:numCache>
                <c:formatCode>General</c:formatCode>
                <c:ptCount val="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</c:numCache>
            </c:numRef>
          </c:cat>
          <c:val>
            <c:numRef>
              <c:f>不等宽柱形图!$O$2:$O$81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1E-46E3-AE33-1CFF31E8E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8925840"/>
        <c:axId val="568926320"/>
      </c:barChart>
      <c:lineChart>
        <c:grouping val="standard"/>
        <c:varyColors val="0"/>
        <c:ser>
          <c:idx val="8"/>
          <c:order val="0"/>
          <c:tx>
            <c:strRef>
              <c:f>不等宽柱形图!$P$1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B71C1C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不等宽柱形图!$P$2:$P$81</c:f>
              <c:numCache>
                <c:formatCode>General</c:formatCode>
                <c:ptCount val="8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4.4000000000000004</c:v>
                </c:pt>
                <c:pt idx="33">
                  <c:v>4.4000000000000004</c:v>
                </c:pt>
                <c:pt idx="34">
                  <c:v>4.4000000000000004</c:v>
                </c:pt>
                <c:pt idx="35">
                  <c:v>4.4000000000000004</c:v>
                </c:pt>
                <c:pt idx="36">
                  <c:v>4.4000000000000004</c:v>
                </c:pt>
                <c:pt idx="37">
                  <c:v>4.4000000000000004</c:v>
                </c:pt>
                <c:pt idx="38">
                  <c:v>4.4000000000000004</c:v>
                </c:pt>
                <c:pt idx="39">
                  <c:v>4.4000000000000004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4.4000000000000004</c:v>
                </c:pt>
                <c:pt idx="43">
                  <c:v>4.4000000000000004</c:v>
                </c:pt>
                <c:pt idx="44">
                  <c:v>4.4000000000000004</c:v>
                </c:pt>
                <c:pt idx="45">
                  <c:v>4.4000000000000004</c:v>
                </c:pt>
                <c:pt idx="46">
                  <c:v>4.4000000000000004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4.4000000000000004</c:v>
                </c:pt>
                <c:pt idx="50">
                  <c:v>4.4000000000000004</c:v>
                </c:pt>
                <c:pt idx="51">
                  <c:v>4.4000000000000004</c:v>
                </c:pt>
                <c:pt idx="52">
                  <c:v>4.4000000000000004</c:v>
                </c:pt>
                <c:pt idx="53">
                  <c:v>4.4000000000000004</c:v>
                </c:pt>
                <c:pt idx="54">
                  <c:v>4.4000000000000004</c:v>
                </c:pt>
                <c:pt idx="55">
                  <c:v>4.4000000000000004</c:v>
                </c:pt>
                <c:pt idx="56">
                  <c:v>4.4000000000000004</c:v>
                </c:pt>
                <c:pt idx="57">
                  <c:v>4.4000000000000004</c:v>
                </c:pt>
                <c:pt idx="58">
                  <c:v>4.4000000000000004</c:v>
                </c:pt>
                <c:pt idx="59">
                  <c:v>4.4000000000000004</c:v>
                </c:pt>
                <c:pt idx="60">
                  <c:v>4.4000000000000004</c:v>
                </c:pt>
                <c:pt idx="61">
                  <c:v>4.4000000000000004</c:v>
                </c:pt>
                <c:pt idx="62">
                  <c:v>4.4000000000000004</c:v>
                </c:pt>
                <c:pt idx="63">
                  <c:v>4.4000000000000004</c:v>
                </c:pt>
                <c:pt idx="64">
                  <c:v>4.4000000000000004</c:v>
                </c:pt>
                <c:pt idx="65">
                  <c:v>4.4000000000000004</c:v>
                </c:pt>
                <c:pt idx="66">
                  <c:v>4.4000000000000004</c:v>
                </c:pt>
                <c:pt idx="67">
                  <c:v>4.4000000000000004</c:v>
                </c:pt>
                <c:pt idx="68">
                  <c:v>4.4000000000000004</c:v>
                </c:pt>
                <c:pt idx="69">
                  <c:v>4.4000000000000004</c:v>
                </c:pt>
                <c:pt idx="70">
                  <c:v>4.4000000000000004</c:v>
                </c:pt>
                <c:pt idx="71">
                  <c:v>4.4000000000000004</c:v>
                </c:pt>
                <c:pt idx="72">
                  <c:v>4.4000000000000004</c:v>
                </c:pt>
                <c:pt idx="73">
                  <c:v>4.4000000000000004</c:v>
                </c:pt>
                <c:pt idx="74">
                  <c:v>4.4000000000000004</c:v>
                </c:pt>
                <c:pt idx="75">
                  <c:v>4.4000000000000004</c:v>
                </c:pt>
                <c:pt idx="76">
                  <c:v>4.4000000000000004</c:v>
                </c:pt>
                <c:pt idx="77">
                  <c:v>4.4000000000000004</c:v>
                </c:pt>
                <c:pt idx="78">
                  <c:v>4.4000000000000004</c:v>
                </c:pt>
                <c:pt idx="7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1E-46E3-AE33-1CFF31E8E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925840"/>
        <c:axId val="568926320"/>
      </c:lineChart>
      <c:catAx>
        <c:axId val="56892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926320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568926320"/>
        <c:scaling>
          <c:orientation val="minMax"/>
          <c:max val="18"/>
        </c:scaling>
        <c:delete val="0"/>
        <c:axPos val="r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925840"/>
        <c:crosses val="max"/>
        <c:crossBetween val="between"/>
        <c:majorUnit val="3"/>
      </c:valAx>
      <c:spPr>
        <a:solidFill>
          <a:srgbClr val="F5F5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92160</xdr:colOff>
      <xdr:row>11</xdr:row>
      <xdr:rowOff>138038</xdr:rowOff>
    </xdr:from>
    <xdr:to>
      <xdr:col>10</xdr:col>
      <xdr:colOff>764493</xdr:colOff>
      <xdr:row>46</xdr:row>
      <xdr:rowOff>42482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78D9620-6E09-363A-D633-7A1F83DC7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0.03474</cdr:x>
      <cdr:y>0.17341</cdr:y>
    </cdr:from>
    <cdr:to>
      <cdr:x>0.21486</cdr:x>
      <cdr:y>0.26829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34A5185F-06C6-AB3D-1EB1-9EC5AB95F1E6}"/>
            </a:ext>
          </a:extLst>
        </cdr:cNvPr>
        <cdr:cNvSpPr txBox="1"/>
      </cdr:nvSpPr>
      <cdr:spPr>
        <a:xfrm xmlns:a="http://schemas.openxmlformats.org/drawingml/2006/main">
          <a:off x="103300" y="1049569"/>
          <a:ext cx="535608" cy="5742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</cdr:x>
      <cdr:y>0.1667</cdr:y>
    </cdr:from>
    <cdr:to>
      <cdr:x>0.28071</cdr:x>
      <cdr:y>0.31695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A8CB1D2A-F488-3736-1098-7F6B91A79D24}"/>
            </a:ext>
          </a:extLst>
        </cdr:cNvPr>
        <cdr:cNvSpPr txBox="1"/>
      </cdr:nvSpPr>
      <cdr:spPr>
        <a:xfrm xmlns:a="http://schemas.openxmlformats.org/drawingml/2006/main">
          <a:off x="0" y="1021603"/>
          <a:ext cx="850900" cy="920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 kern="1200"/>
            <a:t>NO-deal</a:t>
          </a:r>
        </a:p>
        <a:p xmlns:a="http://schemas.openxmlformats.org/drawingml/2006/main">
          <a:r>
            <a:rPr lang="en-US" altLang="zh-CN" sz="1400" b="1" kern="1200"/>
            <a:t>brexit</a:t>
          </a:r>
        </a:p>
        <a:p xmlns:a="http://schemas.openxmlformats.org/drawingml/2006/main">
          <a:r>
            <a:rPr lang="en-US" altLang="zh-CN" sz="1400" b="1" kern="1200"/>
            <a:t>parites</a:t>
          </a:r>
          <a:endParaRPr lang="zh-CN" altLang="en-US" sz="1400" b="1" kern="1200"/>
        </a:p>
      </cdr:txBody>
    </cdr:sp>
  </cdr:relSizeAnchor>
  <cdr:relSizeAnchor xmlns:cdr="http://schemas.openxmlformats.org/drawingml/2006/chartDrawing">
    <cdr:from>
      <cdr:x>0</cdr:x>
      <cdr:y>0.44595</cdr:y>
    </cdr:from>
    <cdr:to>
      <cdr:x>0.581</cdr:x>
      <cdr:y>0.55713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4D5217C2-7418-41AC-8F4F-4BAD31DD0F80}"/>
            </a:ext>
          </a:extLst>
        </cdr:cNvPr>
        <cdr:cNvSpPr txBox="1"/>
      </cdr:nvSpPr>
      <cdr:spPr>
        <a:xfrm xmlns:a="http://schemas.openxmlformats.org/drawingml/2006/main">
          <a:off x="0" y="2709323"/>
          <a:ext cx="2035845" cy="675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 kern="1200"/>
            <a:t>Traditonal</a:t>
          </a:r>
        </a:p>
        <a:p xmlns:a="http://schemas.openxmlformats.org/drawingml/2006/main">
          <a:r>
            <a:rPr lang="en-US" altLang="zh-CN" sz="1600" b="1" kern="1200"/>
            <a:t>parties</a:t>
          </a:r>
        </a:p>
        <a:p xmlns:a="http://schemas.openxmlformats.org/drawingml/2006/main">
          <a:endParaRPr lang="zh-CN" altLang="en-US" sz="1600" b="1" kern="1200"/>
        </a:p>
      </cdr:txBody>
    </cdr:sp>
  </cdr:relSizeAnchor>
  <cdr:relSizeAnchor xmlns:cdr="http://schemas.openxmlformats.org/drawingml/2006/chartDrawing">
    <cdr:from>
      <cdr:x>0</cdr:x>
      <cdr:y>0.69277</cdr:y>
    </cdr:from>
    <cdr:to>
      <cdr:x>0.22666</cdr:x>
      <cdr:y>0.84922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8DD3DA66-C050-380B-D438-4941A9944441}"/>
            </a:ext>
          </a:extLst>
        </cdr:cNvPr>
        <cdr:cNvSpPr txBox="1"/>
      </cdr:nvSpPr>
      <cdr:spPr>
        <a:xfrm xmlns:a="http://schemas.openxmlformats.org/drawingml/2006/main">
          <a:off x="0" y="4280647"/>
          <a:ext cx="944282" cy="966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600" b="1" kern="1200"/>
            <a:t>Antl-Brexit</a:t>
          </a:r>
        </a:p>
        <a:p xmlns:a="http://schemas.openxmlformats.org/drawingml/2006/main">
          <a:r>
            <a:rPr lang="en-US" altLang="zh-CN" sz="1600" b="1" kern="1200"/>
            <a:t>parties</a:t>
          </a:r>
        </a:p>
        <a:p xmlns:a="http://schemas.openxmlformats.org/drawingml/2006/main">
          <a:endParaRPr lang="zh-CN" altLang="en-US" sz="1600" b="1" kern="1200"/>
        </a:p>
      </cdr:txBody>
    </cdr:sp>
  </cdr:relSizeAnchor>
  <cdr:relSizeAnchor xmlns:cdr="http://schemas.openxmlformats.org/drawingml/2006/chartDrawing">
    <cdr:from>
      <cdr:x>0.78051</cdr:x>
      <cdr:y>0.1475</cdr:y>
    </cdr:from>
    <cdr:to>
      <cdr:x>1</cdr:x>
      <cdr:y>0.29548</cdr:y>
    </cdr:to>
    <cdr:sp macro="" textlink="">
      <cdr:nvSpPr>
        <cdr:cNvPr id="6" name="文本框 5">
          <a:extLst xmlns:a="http://schemas.openxmlformats.org/drawingml/2006/main">
            <a:ext uri="{FF2B5EF4-FFF2-40B4-BE49-F238E27FC236}">
              <a16:creationId xmlns:a16="http://schemas.microsoft.com/office/drawing/2014/main" id="{47C6253B-FB06-7A18-67C7-5A93BF427533}"/>
            </a:ext>
          </a:extLst>
        </cdr:cNvPr>
        <cdr:cNvSpPr txBox="1"/>
      </cdr:nvSpPr>
      <cdr:spPr>
        <a:xfrm xmlns:a="http://schemas.openxmlformats.org/drawingml/2006/main">
          <a:off x="3493651" y="91141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0.74805</cdr:x>
      <cdr:y>0.11788</cdr:y>
    </cdr:from>
    <cdr:to>
      <cdr:x>0.96754</cdr:x>
      <cdr:y>0.26586</cdr:y>
    </cdr:to>
    <cdr:sp macro="" textlink="">
      <cdr:nvSpPr>
        <cdr:cNvPr id="7" name="文本框 6">
          <a:extLst xmlns:a="http://schemas.openxmlformats.org/drawingml/2006/main">
            <a:ext uri="{FF2B5EF4-FFF2-40B4-BE49-F238E27FC236}">
              <a16:creationId xmlns:a16="http://schemas.microsoft.com/office/drawing/2014/main" id="{BDD46561-C1F3-A91A-1965-362693E99F65}"/>
            </a:ext>
          </a:extLst>
        </cdr:cNvPr>
        <cdr:cNvSpPr txBox="1"/>
      </cdr:nvSpPr>
      <cdr:spPr>
        <a:xfrm xmlns:a="http://schemas.openxmlformats.org/drawingml/2006/main">
          <a:off x="3103239" y="717644"/>
          <a:ext cx="910550" cy="9009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UKIP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0.73989</cdr:x>
      <cdr:y>0.25027</cdr:y>
    </cdr:from>
    <cdr:to>
      <cdr:x>0.95938</cdr:x>
      <cdr:y>0.39825</cdr:y>
    </cdr:to>
    <cdr:sp macro="" textlink="">
      <cdr:nvSpPr>
        <cdr:cNvPr id="8" name="文本框 7">
          <a:extLst xmlns:a="http://schemas.openxmlformats.org/drawingml/2006/main">
            <a:ext uri="{FF2B5EF4-FFF2-40B4-BE49-F238E27FC236}">
              <a16:creationId xmlns:a16="http://schemas.microsoft.com/office/drawing/2014/main" id="{D2EC70AE-9105-C7C6-E2FF-D90603478F70}"/>
            </a:ext>
          </a:extLst>
        </cdr:cNvPr>
        <cdr:cNvSpPr txBox="1"/>
      </cdr:nvSpPr>
      <cdr:spPr>
        <a:xfrm xmlns:a="http://schemas.openxmlformats.org/drawingml/2006/main">
          <a:off x="3069420" y="1523650"/>
          <a:ext cx="910550" cy="90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BrexitParty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0.78051</cdr:x>
      <cdr:y>0.43162</cdr:y>
    </cdr:from>
    <cdr:to>
      <cdr:x>1</cdr:x>
      <cdr:y>0.5796</cdr:y>
    </cdr:to>
    <cdr:sp macro="" textlink="">
      <cdr:nvSpPr>
        <cdr:cNvPr id="9" name="文本框 8">
          <a:extLst xmlns:a="http://schemas.openxmlformats.org/drawingml/2006/main">
            <a:ext uri="{FF2B5EF4-FFF2-40B4-BE49-F238E27FC236}">
              <a16:creationId xmlns:a16="http://schemas.microsoft.com/office/drawing/2014/main" id="{877D6F24-09FD-B155-9FDC-BBC68B57D6BA}"/>
            </a:ext>
          </a:extLst>
        </cdr:cNvPr>
        <cdr:cNvSpPr txBox="1"/>
      </cdr:nvSpPr>
      <cdr:spPr>
        <a:xfrm xmlns:a="http://schemas.openxmlformats.org/drawingml/2006/main">
          <a:off x="3381592" y="266699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0.73926</cdr:x>
      <cdr:y>0.4292</cdr:y>
    </cdr:from>
    <cdr:to>
      <cdr:x>0.95876</cdr:x>
      <cdr:y>0.57719</cdr:y>
    </cdr:to>
    <cdr:sp macro="" textlink="">
      <cdr:nvSpPr>
        <cdr:cNvPr id="10" name="文本框 9">
          <a:extLst xmlns:a="http://schemas.openxmlformats.org/drawingml/2006/main">
            <a:ext uri="{FF2B5EF4-FFF2-40B4-BE49-F238E27FC236}">
              <a16:creationId xmlns:a16="http://schemas.microsoft.com/office/drawing/2014/main" id="{330DDCB6-9F23-0675-FED3-C82E8ADCF359}"/>
            </a:ext>
          </a:extLst>
        </cdr:cNvPr>
        <cdr:cNvSpPr txBox="1"/>
      </cdr:nvSpPr>
      <cdr:spPr>
        <a:xfrm xmlns:a="http://schemas.openxmlformats.org/drawingml/2006/main">
          <a:off x="3079777" y="265205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Conservative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0.74536</cdr:x>
      <cdr:y>0.51867</cdr:y>
    </cdr:from>
    <cdr:to>
      <cdr:x>0.96485</cdr:x>
      <cdr:y>0.66665</cdr:y>
    </cdr:to>
    <cdr:sp macro="" textlink="">
      <cdr:nvSpPr>
        <cdr:cNvPr id="11" name="文本框 10">
          <a:extLst xmlns:a="http://schemas.openxmlformats.org/drawingml/2006/main">
            <a:ext uri="{FF2B5EF4-FFF2-40B4-BE49-F238E27FC236}">
              <a16:creationId xmlns:a16="http://schemas.microsoft.com/office/drawing/2014/main" id="{7A78023F-F1B4-FD7D-E157-4B1D821586F3}"/>
            </a:ext>
          </a:extLst>
        </cdr:cNvPr>
        <cdr:cNvSpPr txBox="1"/>
      </cdr:nvSpPr>
      <cdr:spPr>
        <a:xfrm xmlns:a="http://schemas.openxmlformats.org/drawingml/2006/main">
          <a:off x="3105180" y="320488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Labour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0.74823</cdr:x>
      <cdr:y>0.62144</cdr:y>
    </cdr:from>
    <cdr:to>
      <cdr:x>0.96772</cdr:x>
      <cdr:y>0.76942</cdr:y>
    </cdr:to>
    <cdr:sp macro="" textlink="">
      <cdr:nvSpPr>
        <cdr:cNvPr id="12" name="文本框 11">
          <a:extLst xmlns:a="http://schemas.openxmlformats.org/drawingml/2006/main">
            <a:ext uri="{FF2B5EF4-FFF2-40B4-BE49-F238E27FC236}">
              <a16:creationId xmlns:a16="http://schemas.microsoft.com/office/drawing/2014/main" id="{123F89A9-3CBB-7E26-BA8D-26D77D5E1B7A}"/>
            </a:ext>
          </a:extLst>
        </cdr:cNvPr>
        <cdr:cNvSpPr txBox="1"/>
      </cdr:nvSpPr>
      <cdr:spPr>
        <a:xfrm xmlns:a="http://schemas.openxmlformats.org/drawingml/2006/main">
          <a:off x="3117130" y="38398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Liberal</a:t>
          </a:r>
        </a:p>
        <a:p xmlns:a="http://schemas.openxmlformats.org/drawingml/2006/main">
          <a:r>
            <a:rPr lang="en-US" altLang="zh-CN" sz="1400" kern="1200"/>
            <a:t>Demorats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0.74644</cdr:x>
      <cdr:y>0.75201</cdr:y>
    </cdr:from>
    <cdr:to>
      <cdr:x>0.96593</cdr:x>
      <cdr:y>0.9</cdr:y>
    </cdr:to>
    <cdr:sp macro="" textlink="">
      <cdr:nvSpPr>
        <cdr:cNvPr id="13" name="文本框 12">
          <a:extLst xmlns:a="http://schemas.openxmlformats.org/drawingml/2006/main">
            <a:ext uri="{FF2B5EF4-FFF2-40B4-BE49-F238E27FC236}">
              <a16:creationId xmlns:a16="http://schemas.microsoft.com/office/drawing/2014/main" id="{D1FBF3A5-BBA0-DC4D-E5FA-DB64C399B313}"/>
            </a:ext>
          </a:extLst>
        </cdr:cNvPr>
        <cdr:cNvSpPr txBox="1"/>
      </cdr:nvSpPr>
      <cdr:spPr>
        <a:xfrm xmlns:a="http://schemas.openxmlformats.org/drawingml/2006/main">
          <a:off x="3109660" y="46467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Green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0.74457</cdr:x>
      <cdr:y>0.80399</cdr:y>
    </cdr:from>
    <cdr:to>
      <cdr:x>0.96406</cdr:x>
      <cdr:y>0.95198</cdr:y>
    </cdr:to>
    <cdr:sp macro="" textlink="">
      <cdr:nvSpPr>
        <cdr:cNvPr id="14" name="文本框 13">
          <a:extLst xmlns:a="http://schemas.openxmlformats.org/drawingml/2006/main">
            <a:ext uri="{FF2B5EF4-FFF2-40B4-BE49-F238E27FC236}">
              <a16:creationId xmlns:a16="http://schemas.microsoft.com/office/drawing/2014/main" id="{1464852A-5B57-9148-37C9-4B8421A9A15D}"/>
            </a:ext>
          </a:extLst>
        </cdr:cNvPr>
        <cdr:cNvSpPr txBox="1"/>
      </cdr:nvSpPr>
      <cdr:spPr>
        <a:xfrm xmlns:a="http://schemas.openxmlformats.org/drawingml/2006/main">
          <a:off x="3088823" y="4894784"/>
          <a:ext cx="910550" cy="90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kern="1200"/>
            <a:t>ChangeUK</a:t>
          </a:r>
          <a:endParaRPr lang="zh-CN" altLang="en-US" sz="1100" kern="1200"/>
        </a:p>
      </cdr:txBody>
    </cdr:sp>
  </cdr:relSizeAnchor>
  <cdr:relSizeAnchor xmlns:cdr="http://schemas.openxmlformats.org/drawingml/2006/chartDrawing">
    <cdr:from>
      <cdr:x>0.74701</cdr:x>
      <cdr:y>0.83088</cdr:y>
    </cdr:from>
    <cdr:to>
      <cdr:x>0.96703</cdr:x>
      <cdr:y>0.98013</cdr:y>
    </cdr:to>
    <cdr:sp macro="" textlink="">
      <cdr:nvSpPr>
        <cdr:cNvPr id="15" name="文本框 14">
          <a:extLst xmlns:a="http://schemas.openxmlformats.org/drawingml/2006/main">
            <a:ext uri="{FF2B5EF4-FFF2-40B4-BE49-F238E27FC236}">
              <a16:creationId xmlns:a16="http://schemas.microsoft.com/office/drawing/2014/main" id="{FBDA9328-884F-CE0E-7C60-4A5584910457}"/>
            </a:ext>
          </a:extLst>
        </cdr:cNvPr>
        <cdr:cNvSpPr txBox="1"/>
      </cdr:nvSpPr>
      <cdr:spPr>
        <a:xfrm xmlns:a="http://schemas.openxmlformats.org/drawingml/2006/main">
          <a:off x="3106743" y="5071177"/>
          <a:ext cx="915062" cy="910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NSP</a:t>
          </a:r>
        </a:p>
        <a:p xmlns:a="http://schemas.openxmlformats.org/drawingml/2006/main">
          <a:endParaRPr lang="zh-CN" altLang="en-US" sz="1200" kern="1200"/>
        </a:p>
      </cdr:txBody>
    </cdr:sp>
  </cdr:relSizeAnchor>
  <cdr:relSizeAnchor xmlns:cdr="http://schemas.openxmlformats.org/drawingml/2006/chartDrawing">
    <cdr:from>
      <cdr:x>0.74658</cdr:x>
      <cdr:y>0.85892</cdr:y>
    </cdr:from>
    <cdr:to>
      <cdr:x>0.92365</cdr:x>
      <cdr:y>0.94439</cdr:y>
    </cdr:to>
    <cdr:sp macro="" textlink="">
      <cdr:nvSpPr>
        <cdr:cNvPr id="16" name="文本框 15">
          <a:extLst xmlns:a="http://schemas.openxmlformats.org/drawingml/2006/main">
            <a:ext uri="{FF2B5EF4-FFF2-40B4-BE49-F238E27FC236}">
              <a16:creationId xmlns:a16="http://schemas.microsoft.com/office/drawing/2014/main" id="{739D9425-65DA-3AB5-13BC-E6B1051A19E5}"/>
            </a:ext>
          </a:extLst>
        </cdr:cNvPr>
        <cdr:cNvSpPr txBox="1"/>
      </cdr:nvSpPr>
      <cdr:spPr>
        <a:xfrm xmlns:a="http://schemas.openxmlformats.org/drawingml/2006/main">
          <a:off x="3097149" y="5229154"/>
          <a:ext cx="734577" cy="520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PiaidCymru</a:t>
          </a:r>
          <a:endParaRPr lang="zh-CN" altLang="en-US" sz="1200" kern="1200"/>
        </a:p>
      </cdr:txBody>
    </cdr:sp>
  </cdr:relSizeAnchor>
  <cdr:relSizeAnchor xmlns:cdr="http://schemas.openxmlformats.org/drawingml/2006/chartDrawing">
    <cdr:from>
      <cdr:x>0.78051</cdr:x>
      <cdr:y>0.85202</cdr:y>
    </cdr:from>
    <cdr:to>
      <cdr:x>1</cdr:x>
      <cdr:y>1</cdr:y>
    </cdr:to>
    <cdr:sp macro="" textlink="">
      <cdr:nvSpPr>
        <cdr:cNvPr id="17" name="文本框 16">
          <a:extLst xmlns:a="http://schemas.openxmlformats.org/drawingml/2006/main">
            <a:ext uri="{FF2B5EF4-FFF2-40B4-BE49-F238E27FC236}">
              <a16:creationId xmlns:a16="http://schemas.microsoft.com/office/drawing/2014/main" id="{B5150BB5-33BF-7869-8BFA-6839E07F2366}"/>
            </a:ext>
          </a:extLst>
        </cdr:cNvPr>
        <cdr:cNvSpPr txBox="1"/>
      </cdr:nvSpPr>
      <cdr:spPr>
        <a:xfrm xmlns:a="http://schemas.openxmlformats.org/drawingml/2006/main">
          <a:off x="3272408" y="559657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0.74395</cdr:x>
      <cdr:y>0.88877</cdr:y>
    </cdr:from>
    <cdr:to>
      <cdr:x>0.90074</cdr:x>
      <cdr:y>0.97929</cdr:y>
    </cdr:to>
    <cdr:sp macro="" textlink="">
      <cdr:nvSpPr>
        <cdr:cNvPr id="18" name="文本框 17">
          <a:extLst xmlns:a="http://schemas.openxmlformats.org/drawingml/2006/main">
            <a:ext uri="{FF2B5EF4-FFF2-40B4-BE49-F238E27FC236}">
              <a16:creationId xmlns:a16="http://schemas.microsoft.com/office/drawing/2014/main" id="{39DA369B-24B9-7D58-16E4-F943E9D55399}"/>
            </a:ext>
          </a:extLst>
        </cdr:cNvPr>
        <cdr:cNvSpPr txBox="1"/>
      </cdr:nvSpPr>
      <cdr:spPr>
        <a:xfrm xmlns:a="http://schemas.openxmlformats.org/drawingml/2006/main">
          <a:off x="3093581" y="5470569"/>
          <a:ext cx="651966" cy="557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Others</a:t>
          </a:r>
          <a:endParaRPr lang="zh-CN" altLang="en-US" sz="12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38653</xdr:colOff>
      <xdr:row>0</xdr:row>
      <xdr:rowOff>51627</xdr:rowOff>
    </xdr:from>
    <xdr:to>
      <xdr:col>12</xdr:col>
      <xdr:colOff>161192</xdr:colOff>
      <xdr:row>23</xdr:row>
      <xdr:rowOff>156307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F0D185-9FDB-6356-278B-DFECF4382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0.03136</cdr:x>
      <cdr:y>0.04679</cdr:y>
    </cdr:from>
    <cdr:to>
      <cdr:x>0.22369</cdr:x>
      <cdr:y>0.25259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54F336C1-8498-3049-4C63-F588AAB70AD5}"/>
            </a:ext>
          </a:extLst>
        </cdr:cNvPr>
        <cdr:cNvSpPr txBox="1"/>
      </cdr:nvSpPr>
      <cdr:spPr>
        <a:xfrm xmlns:a="http://schemas.openxmlformats.org/drawingml/2006/main">
          <a:off x="149087" y="20789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 kern="1200"/>
        </a:p>
      </cdr:txBody>
    </cdr:sp>
  </cdr:relSizeAnchor>
  <cdr:relSizeAnchor xmlns:cdr="http://schemas.openxmlformats.org/drawingml/2006/chartDrawing">
    <cdr:from>
      <cdr:x>0.02323</cdr:x>
      <cdr:y>0.02566</cdr:y>
    </cdr:from>
    <cdr:to>
      <cdr:x>0.21556</cdr:x>
      <cdr:y>0.23147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9D3794DC-F642-1F9C-15A0-5DA6D23E4DE6}"/>
            </a:ext>
          </a:extLst>
        </cdr:cNvPr>
        <cdr:cNvSpPr txBox="1"/>
      </cdr:nvSpPr>
      <cdr:spPr>
        <a:xfrm xmlns:a="http://schemas.openxmlformats.org/drawingml/2006/main">
          <a:off x="110434" y="1140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President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0.01974</cdr:x>
      <cdr:y>0.12011</cdr:y>
    </cdr:from>
    <cdr:to>
      <cdr:x>0.21208</cdr:x>
      <cdr:y>0.32592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254C2AE9-1843-8617-47E5-500B1038DD78}"/>
            </a:ext>
          </a:extLst>
        </cdr:cNvPr>
        <cdr:cNvSpPr txBox="1"/>
      </cdr:nvSpPr>
      <cdr:spPr>
        <a:xfrm xmlns:a="http://schemas.openxmlformats.org/drawingml/2006/main">
          <a:off x="93868" y="53367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Vice-president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0.01742</cdr:x>
      <cdr:y>0.21829</cdr:y>
    </cdr:from>
    <cdr:to>
      <cdr:x>0.20976</cdr:x>
      <cdr:y>0.4241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7DD29441-A4B0-125F-9860-49BAACBF2C64}"/>
            </a:ext>
          </a:extLst>
        </cdr:cNvPr>
        <cdr:cNvSpPr txBox="1"/>
      </cdr:nvSpPr>
      <cdr:spPr>
        <a:xfrm xmlns:a="http://schemas.openxmlformats.org/drawingml/2006/main">
          <a:off x="82826" y="96989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Prime minster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0.0151</cdr:x>
      <cdr:y>0.28416</cdr:y>
    </cdr:from>
    <cdr:to>
      <cdr:x>0.20743</cdr:x>
      <cdr:y>0.48996</cdr:y>
    </cdr:to>
    <cdr:sp macro="" textlink="">
      <cdr:nvSpPr>
        <cdr:cNvPr id="6" name="文本框 5">
          <a:extLst xmlns:a="http://schemas.openxmlformats.org/drawingml/2006/main">
            <a:ext uri="{FF2B5EF4-FFF2-40B4-BE49-F238E27FC236}">
              <a16:creationId xmlns:a16="http://schemas.microsoft.com/office/drawing/2014/main" id="{AB444DAE-9D88-77DC-C404-35DB22012368}"/>
            </a:ext>
          </a:extLst>
        </cdr:cNvPr>
        <cdr:cNvSpPr txBox="1"/>
      </cdr:nvSpPr>
      <cdr:spPr>
        <a:xfrm xmlns:a="http://schemas.openxmlformats.org/drawingml/2006/main">
          <a:off x="71783" y="126254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400" kern="1200"/>
            <a:t>Speaker of</a:t>
          </a:r>
        </a:p>
        <a:p xmlns:a="http://schemas.openxmlformats.org/drawingml/2006/main">
          <a:r>
            <a:rPr lang="en-US" altLang="zh-CN" sz="1400" kern="1200"/>
            <a:t>lower house</a:t>
          </a:r>
          <a:endParaRPr lang="zh-CN" altLang="en-US" sz="1400" kern="1200"/>
        </a:p>
      </cdr:txBody>
    </cdr:sp>
  </cdr:relSizeAnchor>
  <cdr:relSizeAnchor xmlns:cdr="http://schemas.openxmlformats.org/drawingml/2006/chartDrawing">
    <cdr:from>
      <cdr:x>0.00581</cdr:x>
      <cdr:y>0.41092</cdr:y>
    </cdr:from>
    <cdr:to>
      <cdr:x>0.19814</cdr:x>
      <cdr:y>0.61673</cdr:y>
    </cdr:to>
    <cdr:sp macro="" textlink="">
      <cdr:nvSpPr>
        <cdr:cNvPr id="7" name="文本框 6">
          <a:extLst xmlns:a="http://schemas.openxmlformats.org/drawingml/2006/main">
            <a:ext uri="{FF2B5EF4-FFF2-40B4-BE49-F238E27FC236}">
              <a16:creationId xmlns:a16="http://schemas.microsoft.com/office/drawing/2014/main" id="{19DBFC12-855F-BB54-E567-4AC558C1CD86}"/>
            </a:ext>
          </a:extLst>
        </cdr:cNvPr>
        <cdr:cNvSpPr txBox="1"/>
      </cdr:nvSpPr>
      <cdr:spPr>
        <a:xfrm xmlns:a="http://schemas.openxmlformats.org/drawingml/2006/main">
          <a:off x="27607" y="182576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Cabinet</a:t>
          </a:r>
        </a:p>
        <a:p xmlns:a="http://schemas.openxmlformats.org/drawingml/2006/main">
          <a:r>
            <a:rPr lang="en-US" altLang="zh-CN" sz="1200" kern="1200"/>
            <a:t>(12 of 25)</a:t>
          </a:r>
          <a:endParaRPr lang="zh-CN" altLang="en-US" sz="1200" kern="1200"/>
        </a:p>
      </cdr:txBody>
    </cdr:sp>
  </cdr:relSizeAnchor>
  <cdr:relSizeAnchor xmlns:cdr="http://schemas.openxmlformats.org/drawingml/2006/chartDrawing">
    <cdr:from>
      <cdr:x>0.00813</cdr:x>
      <cdr:y>0.55757</cdr:y>
    </cdr:from>
    <cdr:to>
      <cdr:x>0.20046</cdr:x>
      <cdr:y>0.76338</cdr:y>
    </cdr:to>
    <cdr:sp macro="" textlink="">
      <cdr:nvSpPr>
        <cdr:cNvPr id="8" name="文本框 7">
          <a:extLst xmlns:a="http://schemas.openxmlformats.org/drawingml/2006/main">
            <a:ext uri="{FF2B5EF4-FFF2-40B4-BE49-F238E27FC236}">
              <a16:creationId xmlns:a16="http://schemas.microsoft.com/office/drawing/2014/main" id="{544E4DC3-2F2D-3947-287D-A9254BD39E07}"/>
            </a:ext>
          </a:extLst>
        </cdr:cNvPr>
        <cdr:cNvSpPr txBox="1"/>
      </cdr:nvSpPr>
      <cdr:spPr>
        <a:xfrm xmlns:a="http://schemas.openxmlformats.org/drawingml/2006/main">
          <a:off x="38652" y="247733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Other ministers</a:t>
          </a:r>
        </a:p>
        <a:p xmlns:a="http://schemas.openxmlformats.org/drawingml/2006/main">
          <a:r>
            <a:rPr lang="en-US" altLang="zh-CN" sz="1200" kern="1200"/>
            <a:t>(11 of 49)</a:t>
          </a:r>
          <a:endParaRPr lang="zh-CN" altLang="en-US" sz="1200" kern="1200"/>
        </a:p>
      </cdr:txBody>
    </cdr:sp>
  </cdr:relSizeAnchor>
  <cdr:relSizeAnchor xmlns:cdr="http://schemas.openxmlformats.org/drawingml/2006/chartDrawing">
    <cdr:from>
      <cdr:x>0.00465</cdr:x>
      <cdr:y>0.74896</cdr:y>
    </cdr:from>
    <cdr:to>
      <cdr:x>0.19698</cdr:x>
      <cdr:y>0.95476</cdr:y>
    </cdr:to>
    <cdr:sp macro="" textlink="">
      <cdr:nvSpPr>
        <cdr:cNvPr id="9" name="文本框 8">
          <a:extLst xmlns:a="http://schemas.openxmlformats.org/drawingml/2006/main">
            <a:ext uri="{FF2B5EF4-FFF2-40B4-BE49-F238E27FC236}">
              <a16:creationId xmlns:a16="http://schemas.microsoft.com/office/drawing/2014/main" id="{488FEE49-E4A1-2086-C766-06B847392B08}"/>
            </a:ext>
          </a:extLst>
        </cdr:cNvPr>
        <cdr:cNvSpPr txBox="1"/>
      </cdr:nvSpPr>
      <cdr:spPr>
        <a:xfrm xmlns:a="http://schemas.openxmlformats.org/drawingml/2006/main">
          <a:off x="22086" y="332767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State govermors</a:t>
          </a:r>
        </a:p>
        <a:p xmlns:a="http://schemas.openxmlformats.org/drawingml/2006/main">
          <a:r>
            <a:rPr lang="en-US" altLang="zh-CN" sz="1200" kern="1200"/>
            <a:t>(15 of 33)</a:t>
          </a:r>
          <a:endParaRPr lang="zh-CN" altLang="en-US" sz="1200" kern="1200"/>
        </a:p>
      </cdr:txBody>
    </cdr:sp>
  </cdr:relSizeAnchor>
  <cdr:relSizeAnchor xmlns:cdr="http://schemas.openxmlformats.org/drawingml/2006/chartDrawing">
    <cdr:from>
      <cdr:x>0</cdr:x>
      <cdr:y>0.87</cdr:y>
    </cdr:from>
    <cdr:to>
      <cdr:x>0.23229</cdr:x>
      <cdr:y>1</cdr:y>
    </cdr:to>
    <cdr:sp macro="" textlink="">
      <cdr:nvSpPr>
        <cdr:cNvPr id="10" name="文本框 9">
          <a:extLst xmlns:a="http://schemas.openxmlformats.org/drawingml/2006/main">
            <a:ext uri="{FF2B5EF4-FFF2-40B4-BE49-F238E27FC236}">
              <a16:creationId xmlns:a16="http://schemas.microsoft.com/office/drawing/2014/main" id="{A21279A1-DB41-D165-8B1E-6D3A75A1B330}"/>
            </a:ext>
          </a:extLst>
        </cdr:cNvPr>
        <cdr:cNvSpPr txBox="1"/>
      </cdr:nvSpPr>
      <cdr:spPr>
        <a:xfrm xmlns:a="http://schemas.openxmlformats.org/drawingml/2006/main">
          <a:off x="0" y="3865490"/>
          <a:ext cx="1104348" cy="577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200" kern="1200"/>
            <a:t>State chief ministers</a:t>
          </a:r>
        </a:p>
        <a:p xmlns:a="http://schemas.openxmlformats.org/drawingml/2006/main">
          <a:r>
            <a:rPr lang="en-US" altLang="zh-CN" sz="1200" kern="1200"/>
            <a:t>(8 of 31)</a:t>
          </a:r>
          <a:endParaRPr lang="zh-CN" altLang="en-US" sz="12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290605</xdr:colOff>
      <xdr:row>0</xdr:row>
      <xdr:rowOff>44450</xdr:rowOff>
    </xdr:from>
    <xdr:to>
      <xdr:col>11</xdr:col>
      <xdr:colOff>1123950</xdr:colOff>
      <xdr:row>26</xdr:row>
      <xdr:rowOff>104215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CD9521E-2A3F-C114-EECF-1DE6C3D81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63251</xdr:colOff>
      <xdr:row>23</xdr:row>
      <xdr:rowOff>40158</xdr:rowOff>
    </xdr:from>
    <xdr:to>
      <xdr:col>5</xdr:col>
      <xdr:colOff>617431</xdr:colOff>
      <xdr:row>52</xdr:row>
      <xdr:rowOff>86340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DC75AE5-18FC-8A0F-879D-639780831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47E-8379-4E94-9598-7C4998F40A6D}">
  <sheetPr>
    <pageSetUpPr autoPageBreaks="0"/>
  </sheetPr>
  <dimension ref="A1:N19"/>
  <sheetViews>
    <sheetView showGridLines="0" zoomScale="85" zoomScaleNormal="85" workbookViewId="0">
      <selection activeCell="A19" sqref="A19:G19"/>
    </sheetView>
  </sheetViews>
  <sheetFormatPr defaultRowHeight="14" x14ac:dyDescent="0.3"/>
  <cols>
    <col min="1" max="14" width="15.25" style="1" customWidth="1"/>
    <col min="15" max="16384" width="8.6640625" style="1"/>
  </cols>
  <sheetData>
    <row r="1" spans="1:14" x14ac:dyDescent="0.3">
      <c r="A1" s="3" t="s">
        <v>0</v>
      </c>
    </row>
    <row r="3" spans="1:14" x14ac:dyDescent="0.3">
      <c r="A3" s="25"/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</row>
    <row r="4" spans="1:14" x14ac:dyDescent="0.3">
      <c r="A4" s="6">
        <v>2014</v>
      </c>
      <c r="B4" s="7">
        <v>10</v>
      </c>
      <c r="C4" s="8">
        <v>0</v>
      </c>
      <c r="D4" s="9">
        <v>8</v>
      </c>
      <c r="E4" s="6">
        <v>8</v>
      </c>
      <c r="F4" s="10">
        <v>3</v>
      </c>
      <c r="G4" s="9">
        <v>4</v>
      </c>
      <c r="H4" s="6">
        <v>0</v>
      </c>
      <c r="I4" s="7">
        <v>1</v>
      </c>
      <c r="J4" s="8">
        <v>0</v>
      </c>
      <c r="K4" s="9">
        <v>4</v>
      </c>
    </row>
    <row r="5" spans="1:14" x14ac:dyDescent="0.3">
      <c r="A5" s="6">
        <v>2019</v>
      </c>
      <c r="B5" s="7">
        <v>2</v>
      </c>
      <c r="C5" s="8">
        <v>14</v>
      </c>
      <c r="D5" s="9">
        <v>4</v>
      </c>
      <c r="E5" s="6">
        <v>6</v>
      </c>
      <c r="F5" s="10">
        <v>8</v>
      </c>
      <c r="G5" s="9">
        <v>5</v>
      </c>
      <c r="H5" s="6">
        <v>1</v>
      </c>
      <c r="I5" s="7">
        <v>2</v>
      </c>
      <c r="J5" s="8">
        <v>1</v>
      </c>
      <c r="K5" s="9">
        <v>2</v>
      </c>
    </row>
    <row r="7" spans="1:14" x14ac:dyDescent="0.3">
      <c r="A7" s="3" t="s">
        <v>11</v>
      </c>
    </row>
    <row r="9" spans="1:14" x14ac:dyDescent="0.3">
      <c r="A9" s="25" t="s">
        <v>12</v>
      </c>
      <c r="B9" s="25" t="s">
        <v>13</v>
      </c>
      <c r="C9" s="25" t="s">
        <v>2</v>
      </c>
      <c r="D9" s="25" t="s">
        <v>14</v>
      </c>
      <c r="E9" s="25" t="s">
        <v>3</v>
      </c>
      <c r="F9" s="25" t="s">
        <v>4</v>
      </c>
      <c r="G9" s="25" t="s">
        <v>15</v>
      </c>
      <c r="H9" s="25" t="s">
        <v>5</v>
      </c>
      <c r="I9" s="25" t="s">
        <v>6</v>
      </c>
      <c r="J9" s="25" t="s">
        <v>7</v>
      </c>
      <c r="K9" s="25" t="s">
        <v>8</v>
      </c>
      <c r="L9" s="25" t="s">
        <v>9</v>
      </c>
      <c r="M9" s="25" t="s">
        <v>16</v>
      </c>
      <c r="N9" s="25" t="s">
        <v>10</v>
      </c>
    </row>
    <row r="10" spans="1:14" x14ac:dyDescent="0.3">
      <c r="A10" s="6">
        <v>2014</v>
      </c>
      <c r="B10" s="7">
        <f>B4</f>
        <v>10</v>
      </c>
      <c r="C10" s="5">
        <f>C4</f>
        <v>0</v>
      </c>
      <c r="D10" s="8">
        <f>$G$14</f>
        <v>0.2</v>
      </c>
      <c r="E10" s="9">
        <f>D4</f>
        <v>8</v>
      </c>
      <c r="F10" s="5">
        <f>E4</f>
        <v>8</v>
      </c>
      <c r="G10" s="6">
        <f>$G$14</f>
        <v>0.2</v>
      </c>
      <c r="H10" s="7">
        <f>F4</f>
        <v>3</v>
      </c>
      <c r="I10" s="5">
        <f t="shared" ref="I10:L10" si="0">G4</f>
        <v>4</v>
      </c>
      <c r="J10" s="5">
        <f t="shared" si="0"/>
        <v>0</v>
      </c>
      <c r="K10" s="5">
        <f t="shared" si="0"/>
        <v>1</v>
      </c>
      <c r="L10" s="5">
        <f t="shared" si="0"/>
        <v>0</v>
      </c>
      <c r="M10" s="8">
        <f>$G$14</f>
        <v>0.2</v>
      </c>
      <c r="N10" s="9">
        <f>K4</f>
        <v>4</v>
      </c>
    </row>
    <row r="11" spans="1:14" x14ac:dyDescent="0.3">
      <c r="A11" s="6">
        <v>2019</v>
      </c>
      <c r="B11" s="7">
        <f>B5</f>
        <v>2</v>
      </c>
      <c r="C11" s="5">
        <f>C5</f>
        <v>14</v>
      </c>
      <c r="D11" s="8">
        <f>$G$14</f>
        <v>0.2</v>
      </c>
      <c r="E11" s="9">
        <f>D5</f>
        <v>4</v>
      </c>
      <c r="F11" s="5">
        <f>E5</f>
        <v>6</v>
      </c>
      <c r="G11" s="6">
        <f>$G$14</f>
        <v>0.2</v>
      </c>
      <c r="H11" s="7">
        <f>F5</f>
        <v>8</v>
      </c>
      <c r="I11" s="5">
        <f t="shared" ref="I11:L11" si="1">G5</f>
        <v>5</v>
      </c>
      <c r="J11" s="5">
        <f t="shared" si="1"/>
        <v>1</v>
      </c>
      <c r="K11" s="5">
        <f t="shared" si="1"/>
        <v>2</v>
      </c>
      <c r="L11" s="5">
        <f t="shared" si="1"/>
        <v>1</v>
      </c>
      <c r="M11" s="8">
        <f>$G$14</f>
        <v>0.2</v>
      </c>
      <c r="N11" s="9">
        <f>K5</f>
        <v>2</v>
      </c>
    </row>
    <row r="13" spans="1:14" x14ac:dyDescent="0.3">
      <c r="A13" s="25" t="s">
        <v>17</v>
      </c>
      <c r="B13" s="25" t="s">
        <v>18</v>
      </c>
      <c r="C13" s="25" t="s">
        <v>19</v>
      </c>
      <c r="D13" s="25" t="s">
        <v>20</v>
      </c>
      <c r="E13" s="25" t="s">
        <v>21</v>
      </c>
      <c r="G13" s="25" t="s">
        <v>24</v>
      </c>
    </row>
    <row r="14" spans="1:14" x14ac:dyDescent="0.3">
      <c r="A14" s="6" t="s">
        <v>22</v>
      </c>
      <c r="B14" s="7">
        <f>SUM($B$4:$C$4)</f>
        <v>10</v>
      </c>
      <c r="C14" s="8">
        <f>SUM($D$10:$F$10)</f>
        <v>16.2</v>
      </c>
      <c r="D14" s="9">
        <f>SUM($G$10:$L$10)</f>
        <v>8.1999999999999993</v>
      </c>
      <c r="E14" s="8">
        <f>$N$10</f>
        <v>4</v>
      </c>
      <c r="G14" s="5">
        <v>0.2</v>
      </c>
    </row>
    <row r="15" spans="1:14" x14ac:dyDescent="0.3">
      <c r="A15" s="6" t="s">
        <v>23</v>
      </c>
      <c r="B15" s="7">
        <f>SUM($B$4:$C$4)</f>
        <v>10</v>
      </c>
      <c r="C15" s="8">
        <f>SUM($D$10:$F$10)</f>
        <v>16.2</v>
      </c>
      <c r="D15" s="9">
        <f>SUM($G$10:$L$10)</f>
        <v>8.1999999999999993</v>
      </c>
      <c r="E15" s="8">
        <f>$N$10</f>
        <v>4</v>
      </c>
    </row>
    <row r="16" spans="1:14" x14ac:dyDescent="0.3">
      <c r="A16" s="6" t="s">
        <v>25</v>
      </c>
      <c r="B16" s="7">
        <f>SUM($B$5:$C$5)</f>
        <v>16</v>
      </c>
      <c r="C16" s="8">
        <f>SUM($D$11:$F$11)</f>
        <v>10.199999999999999</v>
      </c>
      <c r="D16" s="9">
        <f>SUM($H$11:$M$11)</f>
        <v>17.2</v>
      </c>
      <c r="E16" s="8">
        <f>$N$11</f>
        <v>2</v>
      </c>
    </row>
    <row r="17" spans="1:7" x14ac:dyDescent="0.3">
      <c r="A17" s="6" t="s">
        <v>26</v>
      </c>
      <c r="B17" s="7">
        <f>SUM($B$5:$C$5)</f>
        <v>16</v>
      </c>
      <c r="C17" s="8">
        <f>SUM($D$11:$F$11)</f>
        <v>10.199999999999999</v>
      </c>
      <c r="D17" s="9">
        <f>SUM($H$11:$M$11)</f>
        <v>17.2</v>
      </c>
      <c r="E17" s="8">
        <f>$N$11</f>
        <v>2</v>
      </c>
    </row>
    <row r="19" spans="1:7" ht="22.5" x14ac:dyDescent="0.3">
      <c r="A19" s="22" t="s">
        <v>27</v>
      </c>
      <c r="B19" s="22"/>
      <c r="C19" s="22"/>
      <c r="D19" s="22"/>
      <c r="E19" s="22"/>
      <c r="F19" s="22"/>
      <c r="G19" s="22"/>
    </row>
  </sheetData>
  <mergeCells count="1">
    <mergeCell ref="A19:G1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3C04-01FD-425D-8893-E4BA846C7259}">
  <dimension ref="A1:E24"/>
  <sheetViews>
    <sheetView showGridLines="0" zoomScale="130" zoomScaleNormal="130" workbookViewId="0">
      <selection activeCell="A24" sqref="A24:D24"/>
    </sheetView>
  </sheetViews>
  <sheetFormatPr defaultRowHeight="14" x14ac:dyDescent="0.3"/>
  <cols>
    <col min="1" max="2" width="16.9140625" style="1" customWidth="1"/>
    <col min="3" max="5" width="16.9140625" style="2" customWidth="1"/>
  </cols>
  <sheetData>
    <row r="1" spans="1:5" x14ac:dyDescent="0.3">
      <c r="A1" s="25" t="s">
        <v>28</v>
      </c>
      <c r="B1" s="25"/>
      <c r="C1" s="25" t="s">
        <v>36</v>
      </c>
      <c r="D1" s="25" t="s">
        <v>37</v>
      </c>
      <c r="E1" s="25" t="s">
        <v>38</v>
      </c>
    </row>
    <row r="2" spans="1:5" x14ac:dyDescent="0.3">
      <c r="A2" s="11"/>
      <c r="B2" s="11"/>
      <c r="C2" s="5"/>
      <c r="D2" s="5"/>
      <c r="E2" s="5"/>
    </row>
    <row r="3" spans="1:5" x14ac:dyDescent="0.3">
      <c r="A3" s="11" t="s">
        <v>29</v>
      </c>
      <c r="B3" s="11"/>
      <c r="C3" s="5">
        <v>1</v>
      </c>
      <c r="D3" s="5">
        <v>1</v>
      </c>
      <c r="E3" s="5" t="s">
        <v>40</v>
      </c>
    </row>
    <row r="4" spans="1:5" x14ac:dyDescent="0.3">
      <c r="A4" s="11"/>
      <c r="B4" s="11"/>
      <c r="C4" s="5"/>
      <c r="D4" s="5"/>
      <c r="E4" s="5"/>
    </row>
    <row r="5" spans="1:5" x14ac:dyDescent="0.3">
      <c r="A5" s="11" t="s">
        <v>30</v>
      </c>
      <c r="B5" s="11"/>
      <c r="C5" s="5">
        <v>1</v>
      </c>
      <c r="D5" s="5">
        <v>1</v>
      </c>
      <c r="E5" s="5" t="s">
        <v>41</v>
      </c>
    </row>
    <row r="6" spans="1:5" x14ac:dyDescent="0.3">
      <c r="A6" s="12"/>
      <c r="B6" s="13"/>
      <c r="C6" s="5"/>
      <c r="D6" s="5"/>
      <c r="E6" s="5"/>
    </row>
    <row r="7" spans="1:5" x14ac:dyDescent="0.3">
      <c r="A7" s="12" t="s">
        <v>39</v>
      </c>
      <c r="B7" s="13"/>
      <c r="C7" s="5">
        <v>1</v>
      </c>
      <c r="D7" s="5">
        <v>1</v>
      </c>
      <c r="E7" s="5" t="s">
        <v>42</v>
      </c>
    </row>
    <row r="8" spans="1:5" x14ac:dyDescent="0.3">
      <c r="A8" s="11"/>
      <c r="B8" s="11"/>
      <c r="C8" s="5"/>
      <c r="D8" s="5"/>
      <c r="E8" s="5"/>
    </row>
    <row r="9" spans="1:5" ht="14.5" thickBot="1" x14ac:dyDescent="0.35">
      <c r="A9" s="14" t="s">
        <v>31</v>
      </c>
      <c r="B9" s="14"/>
      <c r="C9" s="16">
        <v>1</v>
      </c>
      <c r="D9" s="16">
        <v>1</v>
      </c>
      <c r="E9" s="16" t="s">
        <v>43</v>
      </c>
    </row>
    <row r="10" spans="1:5" x14ac:dyDescent="0.3">
      <c r="A10" s="15"/>
      <c r="B10" s="15"/>
      <c r="C10" s="17"/>
      <c r="D10" s="17"/>
      <c r="E10" s="17"/>
    </row>
    <row r="11" spans="1:5" x14ac:dyDescent="0.3">
      <c r="A11" s="11" t="s">
        <v>32</v>
      </c>
      <c r="B11" s="11"/>
      <c r="C11" s="5">
        <v>6</v>
      </c>
      <c r="D11" s="5">
        <v>13</v>
      </c>
      <c r="E11" s="5"/>
    </row>
    <row r="12" spans="1:5" x14ac:dyDescent="0.3">
      <c r="A12" s="11" t="s">
        <v>32</v>
      </c>
      <c r="B12" s="11"/>
      <c r="C12" s="5">
        <v>6</v>
      </c>
      <c r="D12" s="5">
        <v>12</v>
      </c>
      <c r="E12" s="5"/>
    </row>
    <row r="13" spans="1:5" x14ac:dyDescent="0.3">
      <c r="A13" s="12"/>
      <c r="B13" s="13"/>
      <c r="C13" s="5"/>
      <c r="D13" s="5"/>
      <c r="E13" s="5"/>
    </row>
    <row r="14" spans="1:5" x14ac:dyDescent="0.3">
      <c r="A14" s="11" t="s">
        <v>33</v>
      </c>
      <c r="B14" s="11"/>
      <c r="C14" s="5">
        <v>4</v>
      </c>
      <c r="D14" s="5">
        <v>17</v>
      </c>
      <c r="E14" s="5"/>
    </row>
    <row r="15" spans="1:5" x14ac:dyDescent="0.3">
      <c r="A15" s="11" t="s">
        <v>33</v>
      </c>
      <c r="B15" s="11"/>
      <c r="C15" s="5">
        <v>4</v>
      </c>
      <c r="D15" s="5">
        <v>16</v>
      </c>
      <c r="E15" s="5"/>
    </row>
    <row r="16" spans="1:5" x14ac:dyDescent="0.3">
      <c r="A16" s="11" t="s">
        <v>33</v>
      </c>
      <c r="B16" s="11"/>
      <c r="C16" s="5">
        <v>3</v>
      </c>
      <c r="D16" s="5">
        <v>16</v>
      </c>
      <c r="E16" s="5"/>
    </row>
    <row r="17" spans="1:5" x14ac:dyDescent="0.3">
      <c r="A17" s="12"/>
      <c r="B17" s="13"/>
      <c r="C17" s="5"/>
      <c r="D17" s="5"/>
      <c r="E17" s="5"/>
    </row>
    <row r="18" spans="1:5" x14ac:dyDescent="0.3">
      <c r="A18" s="11" t="s">
        <v>34</v>
      </c>
      <c r="B18" s="11"/>
      <c r="C18" s="5">
        <v>8</v>
      </c>
      <c r="D18" s="5">
        <v>17</v>
      </c>
      <c r="E18" s="5"/>
    </row>
    <row r="19" spans="1:5" x14ac:dyDescent="0.3">
      <c r="A19" s="11" t="s">
        <v>34</v>
      </c>
      <c r="B19" s="11"/>
      <c r="C19" s="5">
        <v>7</v>
      </c>
      <c r="D19" s="5">
        <v>16</v>
      </c>
      <c r="E19" s="5"/>
    </row>
    <row r="20" spans="1:5" x14ac:dyDescent="0.3">
      <c r="A20" s="11"/>
      <c r="B20" s="11"/>
      <c r="C20" s="5"/>
      <c r="D20" s="5"/>
      <c r="E20" s="5"/>
    </row>
    <row r="21" spans="1:5" x14ac:dyDescent="0.3">
      <c r="A21" s="11" t="s">
        <v>35</v>
      </c>
      <c r="B21" s="11"/>
      <c r="C21" s="5">
        <v>4</v>
      </c>
      <c r="D21" s="5">
        <v>17</v>
      </c>
      <c r="E21" s="5"/>
    </row>
    <row r="22" spans="1:5" x14ac:dyDescent="0.3">
      <c r="A22" s="11" t="s">
        <v>35</v>
      </c>
      <c r="B22" s="11"/>
      <c r="C22" s="5">
        <v>4</v>
      </c>
      <c r="D22" s="5">
        <v>16</v>
      </c>
      <c r="E22" s="5"/>
    </row>
    <row r="24" spans="1:5" ht="17.5" x14ac:dyDescent="0.3">
      <c r="A24" s="23" t="s">
        <v>44</v>
      </c>
      <c r="B24" s="23"/>
      <c r="C24" s="23"/>
      <c r="D24" s="23"/>
    </row>
  </sheetData>
  <mergeCells count="1">
    <mergeCell ref="A24:D2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686D-29ED-497A-9E93-CA1A3EE4053A}">
  <dimension ref="A1:G39"/>
  <sheetViews>
    <sheetView showGridLines="0" zoomScaleNormal="100" workbookViewId="0">
      <selection activeCell="I35" sqref="I35"/>
    </sheetView>
  </sheetViews>
  <sheetFormatPr defaultRowHeight="14" x14ac:dyDescent="0.3"/>
  <cols>
    <col min="1" max="5" width="16.08203125" customWidth="1"/>
    <col min="6" max="6" width="16.08203125" style="18" customWidth="1"/>
    <col min="7" max="12" width="16.08203125" customWidth="1"/>
  </cols>
  <sheetData>
    <row r="1" spans="1:7" ht="15.5" x14ac:dyDescent="0.3">
      <c r="A1" s="20" t="s">
        <v>51</v>
      </c>
    </row>
    <row r="2" spans="1:7" x14ac:dyDescent="0.3">
      <c r="A2" s="25" t="s">
        <v>45</v>
      </c>
      <c r="B2" s="25" t="s">
        <v>48</v>
      </c>
      <c r="C2" s="25" t="s">
        <v>49</v>
      </c>
      <c r="D2" s="25" t="s">
        <v>50</v>
      </c>
    </row>
    <row r="3" spans="1:7" x14ac:dyDescent="0.3">
      <c r="A3" s="5">
        <v>2004</v>
      </c>
      <c r="B3" s="5">
        <v>0.2</v>
      </c>
      <c r="C3" s="5">
        <v>0.5</v>
      </c>
      <c r="D3" s="5">
        <v>3.9</v>
      </c>
    </row>
    <row r="4" spans="1:7" x14ac:dyDescent="0.3">
      <c r="A4" s="5">
        <v>2006</v>
      </c>
      <c r="B4" s="5">
        <v>0.4</v>
      </c>
      <c r="C4" s="5">
        <v>0.8</v>
      </c>
      <c r="D4" s="5">
        <v>4.05</v>
      </c>
    </row>
    <row r="5" spans="1:7" x14ac:dyDescent="0.3">
      <c r="A5" s="5">
        <v>2008</v>
      </c>
      <c r="B5" s="5">
        <v>0.4</v>
      </c>
      <c r="C5" s="5">
        <v>1.3</v>
      </c>
      <c r="D5" s="5">
        <v>4.7</v>
      </c>
    </row>
    <row r="6" spans="1:7" x14ac:dyDescent="0.3">
      <c r="A6" s="5">
        <v>2010</v>
      </c>
      <c r="B6" s="5">
        <v>0.5</v>
      </c>
      <c r="C6" s="5">
        <v>1</v>
      </c>
      <c r="D6" s="5">
        <v>4.1500000000000004</v>
      </c>
    </row>
    <row r="7" spans="1:7" x14ac:dyDescent="0.3">
      <c r="A7" s="5">
        <v>2012</v>
      </c>
      <c r="B7" s="5">
        <v>0.6</v>
      </c>
      <c r="C7" s="5">
        <v>1.2</v>
      </c>
      <c r="D7" s="5">
        <v>4.5999999999999996</v>
      </c>
    </row>
    <row r="8" spans="1:7" x14ac:dyDescent="0.3">
      <c r="A8" s="5">
        <v>2014</v>
      </c>
      <c r="B8" s="5">
        <v>0.8</v>
      </c>
      <c r="C8" s="5">
        <v>1.4</v>
      </c>
      <c r="D8" s="5">
        <v>6.8</v>
      </c>
    </row>
    <row r="9" spans="1:7" x14ac:dyDescent="0.3">
      <c r="A9" s="5">
        <v>2016</v>
      </c>
      <c r="B9" s="5">
        <v>0.9</v>
      </c>
      <c r="C9" s="5">
        <v>1.2</v>
      </c>
      <c r="D9" s="5">
        <v>7.5</v>
      </c>
    </row>
    <row r="10" spans="1:7" x14ac:dyDescent="0.3">
      <c r="A10" s="5">
        <v>2018</v>
      </c>
      <c r="B10" s="5">
        <v>1</v>
      </c>
      <c r="C10" s="5">
        <v>1.6</v>
      </c>
      <c r="D10" s="5">
        <v>8.1999999999999993</v>
      </c>
    </row>
    <row r="11" spans="1:7" ht="15.5" x14ac:dyDescent="0.3">
      <c r="A11" s="20" t="s">
        <v>52</v>
      </c>
    </row>
    <row r="12" spans="1:7" x14ac:dyDescent="0.3">
      <c r="A12" s="25" t="s">
        <v>45</v>
      </c>
      <c r="B12" s="25" t="s">
        <v>46</v>
      </c>
      <c r="C12" s="25" t="s">
        <v>47</v>
      </c>
      <c r="D12" s="25" t="s">
        <v>48</v>
      </c>
      <c r="E12" s="25" t="s">
        <v>49</v>
      </c>
      <c r="F12" s="25" t="s">
        <v>50</v>
      </c>
      <c r="G12" s="25" t="s">
        <v>45</v>
      </c>
    </row>
    <row r="13" spans="1:7" x14ac:dyDescent="0.3">
      <c r="A13" s="5">
        <v>2004</v>
      </c>
      <c r="B13" s="5">
        <v>5</v>
      </c>
      <c r="C13" s="5">
        <v>5</v>
      </c>
      <c r="D13" s="5">
        <v>0.2</v>
      </c>
      <c r="E13" s="5">
        <v>0.5</v>
      </c>
      <c r="F13" s="5">
        <v>3.9</v>
      </c>
      <c r="G13" s="19">
        <v>2004</v>
      </c>
    </row>
    <row r="14" spans="1:7" x14ac:dyDescent="0.3">
      <c r="A14" s="5">
        <v>2006</v>
      </c>
      <c r="B14" s="5">
        <v>5</v>
      </c>
      <c r="C14" s="5">
        <v>5</v>
      </c>
      <c r="D14" s="5">
        <v>0.4</v>
      </c>
      <c r="E14" s="5">
        <v>0.8</v>
      </c>
      <c r="F14" s="5">
        <v>4.05</v>
      </c>
      <c r="G14" s="19">
        <v>5</v>
      </c>
    </row>
    <row r="15" spans="1:7" x14ac:dyDescent="0.3">
      <c r="A15" s="5">
        <v>2008</v>
      </c>
      <c r="B15" s="5">
        <v>5</v>
      </c>
      <c r="C15" s="5">
        <v>5</v>
      </c>
      <c r="D15" s="5">
        <v>0.4</v>
      </c>
      <c r="E15" s="5">
        <v>1.3</v>
      </c>
      <c r="F15" s="5">
        <v>4.7</v>
      </c>
      <c r="G15" s="19">
        <v>8</v>
      </c>
    </row>
    <row r="16" spans="1:7" x14ac:dyDescent="0.3">
      <c r="A16" s="5">
        <v>2010</v>
      </c>
      <c r="B16" s="5">
        <v>5</v>
      </c>
      <c r="C16" s="5">
        <v>5</v>
      </c>
      <c r="D16" s="5">
        <v>0.5</v>
      </c>
      <c r="E16" s="5">
        <v>1</v>
      </c>
      <c r="F16" s="5">
        <v>4.1500000000000004</v>
      </c>
      <c r="G16" s="19">
        <v>10</v>
      </c>
    </row>
    <row r="17" spans="1:7" x14ac:dyDescent="0.3">
      <c r="A17" s="5">
        <v>2012</v>
      </c>
      <c r="B17" s="5">
        <v>5</v>
      </c>
      <c r="C17" s="5">
        <v>5</v>
      </c>
      <c r="D17" s="5">
        <v>0.6</v>
      </c>
      <c r="E17" s="5">
        <v>1.2</v>
      </c>
      <c r="F17" s="5">
        <v>4.5999999999999996</v>
      </c>
      <c r="G17" s="19">
        <v>12</v>
      </c>
    </row>
    <row r="18" spans="1:7" x14ac:dyDescent="0.3">
      <c r="A18" s="5">
        <v>2014</v>
      </c>
      <c r="B18" s="5">
        <v>5</v>
      </c>
      <c r="C18" s="5">
        <v>5</v>
      </c>
      <c r="D18" s="5">
        <v>0.8</v>
      </c>
      <c r="E18" s="5">
        <v>1.4</v>
      </c>
      <c r="F18" s="5">
        <v>6.8</v>
      </c>
      <c r="G18" s="19">
        <v>14</v>
      </c>
    </row>
    <row r="19" spans="1:7" x14ac:dyDescent="0.3">
      <c r="A19" s="5">
        <v>2016</v>
      </c>
      <c r="B19" s="5">
        <v>5</v>
      </c>
      <c r="C19" s="5">
        <v>5</v>
      </c>
      <c r="D19" s="5">
        <v>0.9</v>
      </c>
      <c r="E19" s="5">
        <v>1.2</v>
      </c>
      <c r="F19" s="5">
        <v>7.5</v>
      </c>
      <c r="G19" s="19">
        <v>16</v>
      </c>
    </row>
    <row r="20" spans="1:7" x14ac:dyDescent="0.3">
      <c r="A20" s="5">
        <v>2018</v>
      </c>
      <c r="B20" s="5">
        <v>5</v>
      </c>
      <c r="C20" s="5">
        <v>5</v>
      </c>
      <c r="D20" s="5">
        <v>1</v>
      </c>
      <c r="E20" s="5">
        <v>1.6</v>
      </c>
      <c r="F20" s="5">
        <v>8.1999999999999993</v>
      </c>
      <c r="G20" s="19">
        <v>18</v>
      </c>
    </row>
    <row r="21" spans="1:7" ht="15.5" x14ac:dyDescent="0.3">
      <c r="A21" s="20" t="s">
        <v>53</v>
      </c>
    </row>
    <row r="22" spans="1:7" x14ac:dyDescent="0.3">
      <c r="A22" s="25" t="s">
        <v>54</v>
      </c>
      <c r="B22" s="25" t="s">
        <v>55</v>
      </c>
      <c r="C22" s="25" t="s">
        <v>73</v>
      </c>
      <c r="D22" s="25" t="s">
        <v>74</v>
      </c>
    </row>
    <row r="23" spans="1:7" x14ac:dyDescent="0.3">
      <c r="A23" s="5">
        <v>3</v>
      </c>
      <c r="B23" s="5">
        <v>1</v>
      </c>
      <c r="C23" s="5">
        <v>1</v>
      </c>
      <c r="D23" s="5">
        <v>2</v>
      </c>
    </row>
    <row r="24" spans="1:7" x14ac:dyDescent="0.3">
      <c r="A24" s="25" t="s">
        <v>56</v>
      </c>
      <c r="B24" s="25" t="s">
        <v>48</v>
      </c>
      <c r="C24" s="25" t="s">
        <v>49</v>
      </c>
      <c r="D24" s="25" t="s">
        <v>50</v>
      </c>
    </row>
    <row r="25" spans="1:7" x14ac:dyDescent="0.3">
      <c r="A25" s="5">
        <v>0</v>
      </c>
      <c r="B25" s="11" cm="1">
        <f t="array" ref="B25">IF(MOD($A25,$A$23)=B$23,INDEX(B$3:B$10,QUOTIENT($A25,$A$23)+1),0)</f>
        <v>0</v>
      </c>
      <c r="C25" s="11" cm="1">
        <f t="array" ref="C25">IF(MOD($A25,$A$23)=C$23,INDEX(C$3:C$10,QUOTIENT($A25,$A$23)+1),0)</f>
        <v>0</v>
      </c>
      <c r="D25" s="11" cm="1">
        <f t="array" ref="D25">IF(MOD($A25,$A$23)=D$23,INDEX(D$3:D$10,QUOTIENT($A25,$A$23)+1),0)</f>
        <v>0</v>
      </c>
    </row>
    <row r="26" spans="1:7" x14ac:dyDescent="0.3">
      <c r="A26" s="5">
        <v>1</v>
      </c>
      <c r="B26" s="11" cm="1">
        <f t="array" ref="B26">IF(MOD($A26,$A$23)=B$23,INDEX(B$3:B$10,QUOTIENT($A26,$A$23)+1),0)</f>
        <v>0.2</v>
      </c>
      <c r="C26" s="11" cm="1">
        <f t="array" ref="C26">IF(MOD($A26,$A$23)=C$23,INDEX(C$3:C$10,QUOTIENT($A26,$A$23)+1),0)</f>
        <v>0.5</v>
      </c>
      <c r="D26" s="11" cm="1">
        <f t="array" ref="D26">IF(MOD($A26,$A$23)=D$23,INDEX(D$3:D$10,QUOTIENT($A26,$A$23)+1),0)</f>
        <v>0</v>
      </c>
    </row>
    <row r="27" spans="1:7" x14ac:dyDescent="0.3">
      <c r="A27" s="5">
        <v>2</v>
      </c>
      <c r="B27" s="11" cm="1">
        <f t="array" ref="B27">IF(MOD($A27,$A$23)=B$23,INDEX(B$3:B$10,QUOTIENT($A27,$A$23)+1),0)</f>
        <v>0</v>
      </c>
      <c r="C27" s="11" cm="1">
        <f t="array" ref="C27">IF(MOD($A27,$A$23)=C$23,INDEX(C$3:C$10,QUOTIENT($A27,$A$23)+1),0)</f>
        <v>0</v>
      </c>
      <c r="D27" s="11" cm="1">
        <f t="array" ref="D27">IF(MOD($A27,$A$23)=D$23,INDEX(D$3:D$10,QUOTIENT($A27,$A$23)+1),0)</f>
        <v>3.9</v>
      </c>
    </row>
    <row r="28" spans="1:7" x14ac:dyDescent="0.3">
      <c r="A28" s="5">
        <v>3</v>
      </c>
      <c r="B28" s="11" cm="1">
        <f t="array" ref="B28">IF(MOD($A28,$A$23)=B$23,INDEX(B$3:B$10,QUOTIENT($A28,$A$23)+1),0)</f>
        <v>0</v>
      </c>
      <c r="C28" s="11" cm="1">
        <f t="array" ref="C28">IF(MOD($A28,$A$23)=C$23,INDEX(C$3:C$10,QUOTIENT($A28,$A$23)+1),0)</f>
        <v>0</v>
      </c>
      <c r="D28" s="11" cm="1">
        <f t="array" ref="D28">IF(MOD($A28,$A$23)=D$23,INDEX(D$3:D$10,QUOTIENT($A28,$A$23)+1),0)</f>
        <v>0</v>
      </c>
    </row>
    <row r="29" spans="1:7" x14ac:dyDescent="0.3">
      <c r="A29" s="5">
        <v>4</v>
      </c>
      <c r="B29" s="11" cm="1">
        <f t="array" ref="B29">IF(MOD($A29,$A$23)=B$23,INDEX(B$3:B$10,QUOTIENT($A29,$A$23)+1),0)</f>
        <v>0.4</v>
      </c>
      <c r="C29" s="11" cm="1">
        <f t="array" ref="C29">IF(MOD($A29,$A$23)=C$23,INDEX(C$3:C$10,QUOTIENT($A29,$A$23)+1),0)</f>
        <v>0.8</v>
      </c>
      <c r="D29" s="11" cm="1">
        <f t="array" ref="D29">IF(MOD($A29,$A$23)=D$23,INDEX(D$3:D$10,QUOTIENT($A29,$A$23)+1),0)</f>
        <v>0</v>
      </c>
    </row>
    <row r="30" spans="1:7" x14ac:dyDescent="0.3">
      <c r="A30" s="5">
        <v>5</v>
      </c>
      <c r="B30" s="11" cm="1">
        <f t="array" ref="B30">IF(MOD($A30,$A$23)=B$23,INDEX(B$3:B$10,QUOTIENT($A30,$A$23)+1),0)</f>
        <v>0</v>
      </c>
      <c r="C30" s="11" cm="1">
        <f t="array" ref="C30">IF(MOD($A30,$A$23)=C$23,INDEX(C$3:C$10,QUOTIENT($A30,$A$23)+1),0)</f>
        <v>0</v>
      </c>
      <c r="D30" s="11" cm="1">
        <f t="array" ref="D30">IF(MOD($A30,$A$23)=D$23,INDEX(D$3:D$10,QUOTIENT($A30,$A$23)+1),0)</f>
        <v>4.05</v>
      </c>
    </row>
    <row r="31" spans="1:7" x14ac:dyDescent="0.3">
      <c r="A31" s="5">
        <v>6</v>
      </c>
      <c r="B31" s="11" cm="1">
        <f t="array" ref="B31">IF(MOD($A31,$A$23)=B$23,INDEX(B$3:B$10,QUOTIENT($A31,$A$23)+1),0)</f>
        <v>0</v>
      </c>
      <c r="C31" s="11" cm="1">
        <f t="array" ref="C31">IF(MOD($A31,$A$23)=C$23,INDEX(C$3:C$10,QUOTIENT($A31,$A$23)+1),0)</f>
        <v>0</v>
      </c>
      <c r="D31" s="11" cm="1">
        <f t="array" ref="D31">IF(MOD($A31,$A$23)=D$23,INDEX(D$3:D$10,QUOTIENT($A31,$A$23)+1),0)</f>
        <v>0</v>
      </c>
    </row>
    <row r="32" spans="1:7" x14ac:dyDescent="0.3">
      <c r="A32" s="5">
        <v>7</v>
      </c>
      <c r="B32" s="11" cm="1">
        <f t="array" ref="B32">IF(MOD($A32,$A$23)=B$23,INDEX(B$3:B$10,QUOTIENT($A32,$A$23)+1),0)</f>
        <v>0.4</v>
      </c>
      <c r="C32" s="11" cm="1">
        <f t="array" ref="C32">IF(MOD($A32,$A$23)=C$23,INDEX(C$3:C$10,QUOTIENT($A32,$A$23)+1),0)</f>
        <v>1.3</v>
      </c>
      <c r="D32" s="11" cm="1">
        <f t="array" ref="D32">IF(MOD($A32,$A$23)=D$23,INDEX(D$3:D$10,QUOTIENT($A32,$A$23)+1),0)</f>
        <v>0</v>
      </c>
    </row>
    <row r="33" spans="1:4" x14ac:dyDescent="0.3">
      <c r="A33" s="5">
        <v>8</v>
      </c>
      <c r="B33" s="11" cm="1">
        <f t="array" ref="B33">IF(MOD($A33,$A$23)=B$23,INDEX(B$3:B$10,QUOTIENT($A33,$A$23)+1),0)</f>
        <v>0</v>
      </c>
      <c r="C33" s="11" cm="1">
        <f t="array" ref="C33">IF(MOD($A33,$A$23)=C$23,INDEX(C$3:C$10,QUOTIENT($A33,$A$23)+1),0)</f>
        <v>0</v>
      </c>
      <c r="D33" s="11" cm="1">
        <f t="array" ref="D33">IF(MOD($A33,$A$23)=D$23,INDEX(D$3:D$10,QUOTIENT($A33,$A$23)+1),0)</f>
        <v>4.7</v>
      </c>
    </row>
    <row r="34" spans="1:4" x14ac:dyDescent="0.3">
      <c r="A34" s="5">
        <v>9</v>
      </c>
      <c r="B34" s="11" cm="1">
        <f t="array" ref="B34">IF(MOD($A34,$A$23)=B$23,INDEX(B$3:B$10,QUOTIENT($A34,$A$23)+1),0)</f>
        <v>0</v>
      </c>
      <c r="C34" s="11" cm="1">
        <f t="array" ref="C34">IF(MOD($A34,$A$23)=C$23,INDEX(C$3:C$10,QUOTIENT($A34,$A$23)+1),0)</f>
        <v>0</v>
      </c>
      <c r="D34" s="11" cm="1">
        <f t="array" ref="D34">IF(MOD($A34,$A$23)=D$23,INDEX(D$3:D$10,QUOTIENT($A34,$A$23)+1),0)</f>
        <v>0</v>
      </c>
    </row>
    <row r="35" spans="1:4" x14ac:dyDescent="0.3">
      <c r="A35" s="5">
        <v>10</v>
      </c>
      <c r="B35" s="11" cm="1">
        <f t="array" ref="B35">IF(MOD($A35,$A$23)=B$23,INDEX(B$3:B$10,QUOTIENT($A35,$A$23)+1),0)</f>
        <v>0.5</v>
      </c>
      <c r="C35" s="11" cm="1">
        <f t="array" ref="C35">IF(MOD($A35,$A$23)=C$23,INDEX(C$3:C$10,QUOTIENT($A35,$A$23)+1),0)</f>
        <v>1</v>
      </c>
      <c r="D35" s="11" cm="1">
        <f t="array" ref="D35">IF(MOD($A35,$A$23)=D$23,INDEX(D$3:D$10,QUOTIENT($A35,$A$23)+1),0)</f>
        <v>0</v>
      </c>
    </row>
    <row r="36" spans="1:4" x14ac:dyDescent="0.3">
      <c r="A36" s="5">
        <v>11</v>
      </c>
      <c r="B36" s="11" cm="1">
        <f t="array" ref="B36">IF(MOD($A36,$A$23)=B$23,INDEX(B$3:B$10,QUOTIENT($A36,$A$23)+1),0)</f>
        <v>0</v>
      </c>
      <c r="C36" s="11" cm="1">
        <f t="array" ref="C36">IF(MOD($A36,$A$23)=C$23,INDEX(C$3:C$10,QUOTIENT($A36,$A$23)+1),0)</f>
        <v>0</v>
      </c>
      <c r="D36" s="11" cm="1">
        <f t="array" ref="D36">IF(MOD($A36,$A$23)=D$23,INDEX(D$3:D$10,QUOTIENT($A36,$A$23)+1),0)</f>
        <v>4.1500000000000004</v>
      </c>
    </row>
    <row r="37" spans="1:4" x14ac:dyDescent="0.3">
      <c r="A37" s="5">
        <v>12</v>
      </c>
      <c r="B37" s="11" cm="1">
        <f t="array" ref="B37">IF(MOD($A37,$A$23)=B$23,INDEX(B$3:B$10,QUOTIENT($A37,$A$23)+1),0)</f>
        <v>0</v>
      </c>
      <c r="C37" s="11" cm="1">
        <f t="array" ref="C37">IF(MOD($A37,$A$23)=C$23,INDEX(C$3:C$10,QUOTIENT($A37,$A$23)+1),0)</f>
        <v>0</v>
      </c>
      <c r="D37" s="11" cm="1">
        <f t="array" ref="D37">IF(MOD($A37,$A$23)=D$23,INDEX(D$3:D$10,QUOTIENT($A37,$A$23)+1),0)</f>
        <v>0</v>
      </c>
    </row>
    <row r="38" spans="1:4" x14ac:dyDescent="0.3">
      <c r="A38" s="5">
        <v>13</v>
      </c>
      <c r="B38" s="11" cm="1">
        <f t="array" ref="B38">IF(MOD($A38,$A$23)=B$23,INDEX(B$3:B$10,QUOTIENT($A38,$A$23)+1),0)</f>
        <v>0.6</v>
      </c>
      <c r="C38" s="11" cm="1">
        <f t="array" ref="C38">IF(MOD($A38,$A$23)=C$23,INDEX(C$3:C$10,QUOTIENT($A38,$A$23)+1),0)</f>
        <v>1.2</v>
      </c>
      <c r="D38" s="11" cm="1">
        <f t="array" ref="D38">IF(MOD($A38,$A$23)=D$23,INDEX(D$3:D$10,QUOTIENT($A38,$A$23)+1),0)</f>
        <v>0</v>
      </c>
    </row>
    <row r="39" spans="1:4" x14ac:dyDescent="0.3">
      <c r="A39" s="5">
        <v>14</v>
      </c>
      <c r="B39" s="11" cm="1">
        <f t="array" ref="B39">IF(MOD($A39,$A$23)=B$23,INDEX(B$3:B$10,QUOTIENT($A39,$A$23)+1),0)</f>
        <v>0</v>
      </c>
      <c r="C39" s="11" cm="1">
        <f t="array" ref="C39">IF(MOD($A39,$A$23)=C$23,INDEX(C$3:C$10,QUOTIENT($A39,$A$23)+1),0)</f>
        <v>0</v>
      </c>
      <c r="D39" s="11" cm="1">
        <f t="array" ref="D39">IF(MOD($A39,$A$23)=D$23,INDEX(D$3:D$10,QUOTIENT($A39,$A$23)+1),0)</f>
        <v>4.5999999999999996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7DF2-4C65-4D8B-85ED-5A32ADFF685E}">
  <dimension ref="A1:Q81"/>
  <sheetViews>
    <sheetView showGridLines="0" tabSelected="1" zoomScale="70" zoomScaleNormal="70" workbookViewId="0">
      <selection activeCell="A21" sqref="A21:E21"/>
    </sheetView>
  </sheetViews>
  <sheetFormatPr defaultRowHeight="14" x14ac:dyDescent="0.3"/>
  <cols>
    <col min="1" max="5" width="15.83203125" customWidth="1"/>
    <col min="6" max="6" width="14.9140625" customWidth="1"/>
    <col min="7" max="17" width="19.9140625" customWidth="1"/>
  </cols>
  <sheetData>
    <row r="1" spans="1:17" x14ac:dyDescent="0.3">
      <c r="A1" s="25" t="s">
        <v>57</v>
      </c>
      <c r="B1" s="25" t="s">
        <v>58</v>
      </c>
      <c r="C1" s="25" t="s">
        <v>59</v>
      </c>
      <c r="D1" s="25" t="s">
        <v>60</v>
      </c>
      <c r="E1" s="25" t="s">
        <v>61</v>
      </c>
      <c r="G1" s="4" t="s">
        <v>60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</row>
    <row r="2" spans="1:17" x14ac:dyDescent="0.3">
      <c r="A2" s="5" t="s">
        <v>62</v>
      </c>
      <c r="B2" s="5">
        <v>5.3</v>
      </c>
      <c r="C2" s="5">
        <v>0.3</v>
      </c>
      <c r="D2" s="5">
        <f>ROUND(B2/C2,1)</f>
        <v>17.7</v>
      </c>
      <c r="E2" s="5">
        <f>ROUND(SUM(B2:B9)/SUM(C2:C9),1)</f>
        <v>4.4000000000000004</v>
      </c>
      <c r="G2" s="5" cm="1">
        <f t="array" ref="G2:G81">_xlfn.SEQUENCE(80)</f>
        <v>1</v>
      </c>
      <c r="H2" s="21" cm="1">
        <f t="array" ref="H2">IF(MATCH($G2,$C$12:$C$19,1)=COLUMN(A:A),INDEX($D$2:$D$9,MATCH($G2,$C$12:$C$19,1)),0)</f>
        <v>17.7</v>
      </c>
      <c r="I2" s="5" cm="1">
        <f t="array" ref="I2">IF(MATCH($G2,$C$12:$C$19,1)=COLUMN(B:B),INDEX($D$2:$D$9,MATCH($G2,$C$12:$C$19,1)),0)</f>
        <v>0</v>
      </c>
      <c r="J2" s="5" cm="1">
        <f t="array" ref="J2">IF(MATCH($G2,$C$12:$C$19,1)=COLUMN(C:C),INDEX($D$2:$D$9,MATCH($G2,$C$12:$C$19,1)),0)</f>
        <v>0</v>
      </c>
      <c r="K2" s="5" cm="1">
        <f t="array" ref="K2">IF(MATCH($G2,$C$12:$C$19,1)=COLUMN(D:D),INDEX($D$2:$D$9,MATCH($G2,$C$12:$C$19,1)),0)</f>
        <v>0</v>
      </c>
      <c r="L2" s="5" cm="1">
        <f t="array" ref="L2">IF(MATCH($G2,$C$12:$C$19,1)=COLUMN(E:E),INDEX($D$2:$D$9,MATCH($G2,$C$12:$C$19,1)),0)</f>
        <v>0</v>
      </c>
      <c r="M2" s="5" cm="1">
        <f t="array" ref="M2">IF(MATCH($G2,$C$12:$C$19,1)=COLUMN(F:F),INDEX($D$2:$D$9,MATCH($G2,$C$12:$C$19,1)),0)</f>
        <v>0</v>
      </c>
      <c r="N2" s="5" cm="1">
        <f t="array" ref="N2">IF(MATCH($G2,$C$12:$C$19,1)=COLUMN(G:G),INDEX($D$2:$D$9,MATCH($G2,$C$12:$C$19,1)),0)</f>
        <v>0</v>
      </c>
      <c r="O2" s="5" cm="1">
        <f t="array" ref="O2">IF(MATCH($G2,$C$12:$C$19,1)=COLUMN(H:H),INDEX($D$2:$D$9,MATCH($G2,$C$12:$C$19,1)),0)</f>
        <v>0</v>
      </c>
      <c r="P2" s="5" t="e">
        <f>NA()</f>
        <v>#N/A</v>
      </c>
      <c r="Q2" s="11">
        <v>0</v>
      </c>
    </row>
    <row r="3" spans="1:17" x14ac:dyDescent="0.3">
      <c r="A3" s="5" t="s">
        <v>63</v>
      </c>
      <c r="B3" s="5">
        <v>2.7</v>
      </c>
      <c r="C3" s="5">
        <v>0.3</v>
      </c>
      <c r="D3" s="5">
        <f t="shared" ref="D3:D9" si="0">ROUND(B3/C3,1)</f>
        <v>9</v>
      </c>
      <c r="E3" s="2"/>
      <c r="G3" s="5">
        <v>2</v>
      </c>
      <c r="H3" s="21" cm="1">
        <f t="array" ref="H3">IF(MATCH($G3,$C$12:$C$19,1)=COLUMN(A:A),INDEX($D$2:$D$9,MATCH($G3,$C$12:$C$19,1)),0)</f>
        <v>17.7</v>
      </c>
      <c r="I3" s="5" cm="1">
        <f t="array" ref="I3">IF(MATCH($G3,$C$12:$C$19,1)=COLUMN(B:B),INDEX($D$2:$D$9,MATCH($G3,$C$12:$C$19,1)),0)</f>
        <v>0</v>
      </c>
      <c r="J3" s="5" cm="1">
        <f t="array" ref="J3">IF(MATCH($G3,$C$12:$C$19,1)=COLUMN(C:C),INDEX($D$2:$D$9,MATCH($G3,$C$12:$C$19,1)),0)</f>
        <v>0</v>
      </c>
      <c r="K3" s="5" cm="1">
        <f t="array" ref="K3">IF(MATCH($G3,$C$12:$C$19,1)=COLUMN(D:D),INDEX($D$2:$D$9,MATCH($G3,$C$12:$C$19,1)),0)</f>
        <v>0</v>
      </c>
      <c r="L3" s="5" cm="1">
        <f t="array" ref="L3">IF(MATCH($G3,$C$12:$C$19,1)=COLUMN(E:E),INDEX($D$2:$D$9,MATCH($G3,$C$12:$C$19,1)),0)</f>
        <v>0</v>
      </c>
      <c r="M3" s="5" cm="1">
        <f t="array" ref="M3">IF(MATCH($G3,$C$12:$C$19,1)=COLUMN(F:F),INDEX($D$2:$D$9,MATCH($G3,$C$12:$C$19,1)),0)</f>
        <v>0</v>
      </c>
      <c r="N3" s="5" cm="1">
        <f t="array" ref="N3">IF(MATCH($G3,$C$12:$C$19,1)=COLUMN(G:G),INDEX($D$2:$D$9,MATCH($G3,$C$12:$C$19,1)),0)</f>
        <v>0</v>
      </c>
      <c r="O3" s="5" cm="1">
        <f t="array" ref="O3">IF(MATCH($G3,$C$12:$C$19,1)=COLUMN(H:H),INDEX($D$2:$D$9,MATCH($G3,$C$12:$C$19,1)),0)</f>
        <v>0</v>
      </c>
      <c r="P3" s="5" t="e">
        <f>NA()</f>
        <v>#N/A</v>
      </c>
      <c r="Q3" s="11">
        <v>0.1</v>
      </c>
    </row>
    <row r="4" spans="1:17" x14ac:dyDescent="0.3">
      <c r="A4" s="5" t="s">
        <v>64</v>
      </c>
      <c r="B4" s="5">
        <v>4.9000000000000004</v>
      </c>
      <c r="C4" s="5">
        <v>0.8</v>
      </c>
      <c r="D4" s="5">
        <f t="shared" si="0"/>
        <v>6.1</v>
      </c>
      <c r="E4" s="2"/>
      <c r="G4" s="5">
        <v>3</v>
      </c>
      <c r="H4" s="21" cm="1">
        <f t="array" ref="H4">IF(MATCH($G4,$C$12:$C$19,1)=COLUMN(A:A),INDEX($D$2:$D$9,MATCH($G4,$C$12:$C$19,1)),0)</f>
        <v>17.7</v>
      </c>
      <c r="I4" s="5" cm="1">
        <f t="array" ref="I4">IF(MATCH($G4,$C$12:$C$19,1)=COLUMN(B:B),INDEX($D$2:$D$9,MATCH($G4,$C$12:$C$19,1)),0)</f>
        <v>0</v>
      </c>
      <c r="J4" s="5" cm="1">
        <f t="array" ref="J4">IF(MATCH($G4,$C$12:$C$19,1)=COLUMN(C:C),INDEX($D$2:$D$9,MATCH($G4,$C$12:$C$19,1)),0)</f>
        <v>0</v>
      </c>
      <c r="K4" s="5" cm="1">
        <f t="array" ref="K4">IF(MATCH($G4,$C$12:$C$19,1)=COLUMN(D:D),INDEX($D$2:$D$9,MATCH($G4,$C$12:$C$19,1)),0)</f>
        <v>0</v>
      </c>
      <c r="L4" s="5" cm="1">
        <f t="array" ref="L4">IF(MATCH($G4,$C$12:$C$19,1)=COLUMN(E:E),INDEX($D$2:$D$9,MATCH($G4,$C$12:$C$19,1)),0)</f>
        <v>0</v>
      </c>
      <c r="M4" s="5" cm="1">
        <f t="array" ref="M4">IF(MATCH($G4,$C$12:$C$19,1)=COLUMN(F:F),INDEX($D$2:$D$9,MATCH($G4,$C$12:$C$19,1)),0)</f>
        <v>0</v>
      </c>
      <c r="N4" s="5" cm="1">
        <f t="array" ref="N4">IF(MATCH($G4,$C$12:$C$19,1)=COLUMN(G:G),INDEX($D$2:$D$9,MATCH($G4,$C$12:$C$19,1)),0)</f>
        <v>0</v>
      </c>
      <c r="O4" s="5" cm="1">
        <f t="array" ref="O4">IF(MATCH($G4,$C$12:$C$19,1)=COLUMN(H:H),INDEX($D$2:$D$9,MATCH($G4,$C$12:$C$19,1)),0)</f>
        <v>0</v>
      </c>
      <c r="P4" s="5" t="e">
        <f>NA()</f>
        <v>#N/A</v>
      </c>
      <c r="Q4" s="11">
        <v>0.2</v>
      </c>
    </row>
    <row r="5" spans="1:17" x14ac:dyDescent="0.3">
      <c r="A5" s="5" t="s">
        <v>65</v>
      </c>
      <c r="B5" s="5">
        <v>9.8000000000000007</v>
      </c>
      <c r="C5" s="5">
        <v>1.4</v>
      </c>
      <c r="D5" s="5">
        <f t="shared" si="0"/>
        <v>7</v>
      </c>
      <c r="E5" s="2"/>
      <c r="G5" s="5">
        <v>4</v>
      </c>
      <c r="H5" s="5" cm="1">
        <f t="array" ref="H5">IF(MATCH($G5,$C$12:$C$19,1)=COLUMN(A:A),INDEX($D$2:$D$9,MATCH($G5,$C$12:$C$19,1)),0)</f>
        <v>0</v>
      </c>
      <c r="I5" s="21" cm="1">
        <f t="array" ref="I5">IF(MATCH($G5,$C$12:$C$19,1)=COLUMN(B:B),INDEX($D$2:$D$9,MATCH($G5,$C$12:$C$19,1)),0)</f>
        <v>9</v>
      </c>
      <c r="J5" s="5" cm="1">
        <f t="array" ref="J5">IF(MATCH($G5,$C$12:$C$19,1)=COLUMN(C:C),INDEX($D$2:$D$9,MATCH($G5,$C$12:$C$19,1)),0)</f>
        <v>0</v>
      </c>
      <c r="K5" s="5" cm="1">
        <f t="array" ref="K5">IF(MATCH($G5,$C$12:$C$19,1)=COLUMN(D:D),INDEX($D$2:$D$9,MATCH($G5,$C$12:$C$19,1)),0)</f>
        <v>0</v>
      </c>
      <c r="L5" s="5" cm="1">
        <f t="array" ref="L5">IF(MATCH($G5,$C$12:$C$19,1)=COLUMN(E:E),INDEX($D$2:$D$9,MATCH($G5,$C$12:$C$19,1)),0)</f>
        <v>0</v>
      </c>
      <c r="M5" s="5" cm="1">
        <f t="array" ref="M5">IF(MATCH($G5,$C$12:$C$19,1)=COLUMN(F:F),INDEX($D$2:$D$9,MATCH($G5,$C$12:$C$19,1)),0)</f>
        <v>0</v>
      </c>
      <c r="N5" s="5" cm="1">
        <f t="array" ref="N5">IF(MATCH($G5,$C$12:$C$19,1)=COLUMN(G:G),INDEX($D$2:$D$9,MATCH($G5,$C$12:$C$19,1)),0)</f>
        <v>0</v>
      </c>
      <c r="O5" s="5" cm="1">
        <f t="array" ref="O5">IF(MATCH($G5,$C$12:$C$19,1)=COLUMN(H:H),INDEX($D$2:$D$9,MATCH($G5,$C$12:$C$19,1)),0)</f>
        <v>0</v>
      </c>
      <c r="P5" s="5" t="e">
        <f>NA()</f>
        <v>#N/A</v>
      </c>
      <c r="Q5" s="11">
        <v>0.3</v>
      </c>
    </row>
    <row r="6" spans="1:17" x14ac:dyDescent="0.3">
      <c r="A6" s="5" t="s">
        <v>66</v>
      </c>
      <c r="B6" s="5">
        <v>2.4</v>
      </c>
      <c r="C6" s="5">
        <v>0.7</v>
      </c>
      <c r="D6" s="5">
        <f t="shared" si="0"/>
        <v>3.4</v>
      </c>
      <c r="E6" s="2"/>
      <c r="G6" s="5">
        <v>5</v>
      </c>
      <c r="H6" s="5" cm="1">
        <f t="array" ref="H6">IF(MATCH($G6,$C$12:$C$19,1)=COLUMN(A:A),INDEX($D$2:$D$9,MATCH($G6,$C$12:$C$19,1)),0)</f>
        <v>0</v>
      </c>
      <c r="I6" s="21" cm="1">
        <f t="array" ref="I6">IF(MATCH($G6,$C$12:$C$19,1)=COLUMN(B:B),INDEX($D$2:$D$9,MATCH($G6,$C$12:$C$19,1)),0)</f>
        <v>9</v>
      </c>
      <c r="J6" s="5" cm="1">
        <f t="array" ref="J6">IF(MATCH($G6,$C$12:$C$19,1)=COLUMN(C:C),INDEX($D$2:$D$9,MATCH($G6,$C$12:$C$19,1)),0)</f>
        <v>0</v>
      </c>
      <c r="K6" s="5" cm="1">
        <f t="array" ref="K6">IF(MATCH($G6,$C$12:$C$19,1)=COLUMN(D:D),INDEX($D$2:$D$9,MATCH($G6,$C$12:$C$19,1)),0)</f>
        <v>0</v>
      </c>
      <c r="L6" s="5" cm="1">
        <f t="array" ref="L6">IF(MATCH($G6,$C$12:$C$19,1)=COLUMN(E:E),INDEX($D$2:$D$9,MATCH($G6,$C$12:$C$19,1)),0)</f>
        <v>0</v>
      </c>
      <c r="M6" s="5" cm="1">
        <f t="array" ref="M6">IF(MATCH($G6,$C$12:$C$19,1)=COLUMN(F:F),INDEX($D$2:$D$9,MATCH($G6,$C$12:$C$19,1)),0)</f>
        <v>0</v>
      </c>
      <c r="N6" s="5" cm="1">
        <f t="array" ref="N6">IF(MATCH($G6,$C$12:$C$19,1)=COLUMN(G:G),INDEX($D$2:$D$9,MATCH($G6,$C$12:$C$19,1)),0)</f>
        <v>0</v>
      </c>
      <c r="O6" s="5" cm="1">
        <f t="array" ref="O6">IF(MATCH($G6,$C$12:$C$19,1)=COLUMN(H:H),INDEX($D$2:$D$9,MATCH($G6,$C$12:$C$19,1)),0)</f>
        <v>0</v>
      </c>
      <c r="P6" s="5" t="e">
        <f>NA()</f>
        <v>#N/A</v>
      </c>
      <c r="Q6" s="11">
        <v>0.4</v>
      </c>
    </row>
    <row r="7" spans="1:17" x14ac:dyDescent="0.3">
      <c r="A7" s="5" t="s">
        <v>67</v>
      </c>
      <c r="B7" s="5">
        <v>5.0999999999999996</v>
      </c>
      <c r="C7" s="5">
        <v>1.5</v>
      </c>
      <c r="D7" s="5">
        <f t="shared" si="0"/>
        <v>3.4</v>
      </c>
      <c r="E7" s="2"/>
      <c r="G7" s="5">
        <v>6</v>
      </c>
      <c r="H7" s="5" cm="1">
        <f t="array" ref="H7">IF(MATCH($G7,$C$12:$C$19,1)=COLUMN(A:A),INDEX($D$2:$D$9,MATCH($G7,$C$12:$C$19,1)),0)</f>
        <v>0</v>
      </c>
      <c r="I7" s="21" cm="1">
        <f t="array" ref="I7">IF(MATCH($G7,$C$12:$C$19,1)=COLUMN(B:B),INDEX($D$2:$D$9,MATCH($G7,$C$12:$C$19,1)),0)</f>
        <v>9</v>
      </c>
      <c r="J7" s="5" cm="1">
        <f t="array" ref="J7">IF(MATCH($G7,$C$12:$C$19,1)=COLUMN(C:C),INDEX($D$2:$D$9,MATCH($G7,$C$12:$C$19,1)),0)</f>
        <v>0</v>
      </c>
      <c r="K7" s="5" cm="1">
        <f t="array" ref="K7">IF(MATCH($G7,$C$12:$C$19,1)=COLUMN(D:D),INDEX($D$2:$D$9,MATCH($G7,$C$12:$C$19,1)),0)</f>
        <v>0</v>
      </c>
      <c r="L7" s="5" cm="1">
        <f t="array" ref="L7">IF(MATCH($G7,$C$12:$C$19,1)=COLUMN(E:E),INDEX($D$2:$D$9,MATCH($G7,$C$12:$C$19,1)),0)</f>
        <v>0</v>
      </c>
      <c r="M7" s="5" cm="1">
        <f t="array" ref="M7">IF(MATCH($G7,$C$12:$C$19,1)=COLUMN(F:F),INDEX($D$2:$D$9,MATCH($G7,$C$12:$C$19,1)),0)</f>
        <v>0</v>
      </c>
      <c r="N7" s="5" cm="1">
        <f t="array" ref="N7">IF(MATCH($G7,$C$12:$C$19,1)=COLUMN(G:G),INDEX($D$2:$D$9,MATCH($G7,$C$12:$C$19,1)),0)</f>
        <v>0</v>
      </c>
      <c r="O7" s="5" cm="1">
        <f t="array" ref="O7">IF(MATCH($G7,$C$12:$C$19,1)=COLUMN(H:H),INDEX($D$2:$D$9,MATCH($G7,$C$12:$C$19,1)),0)</f>
        <v>0</v>
      </c>
      <c r="P7" s="5" t="e">
        <f>NA()</f>
        <v>#N/A</v>
      </c>
      <c r="Q7" s="11">
        <v>0.5</v>
      </c>
    </row>
    <row r="8" spans="1:17" x14ac:dyDescent="0.3">
      <c r="A8" s="5" t="s">
        <v>68</v>
      </c>
      <c r="B8" s="5">
        <v>2.5</v>
      </c>
      <c r="C8" s="5">
        <v>1.4</v>
      </c>
      <c r="D8" s="5">
        <f t="shared" si="0"/>
        <v>1.8</v>
      </c>
      <c r="E8" s="2"/>
      <c r="G8" s="5">
        <v>7</v>
      </c>
      <c r="H8" s="5" cm="1">
        <f t="array" ref="H8">IF(MATCH($G8,$C$12:$C$19,1)=COLUMN(A:A),INDEX($D$2:$D$9,MATCH($G8,$C$12:$C$19,1)),0)</f>
        <v>0</v>
      </c>
      <c r="I8" s="5" cm="1">
        <f t="array" ref="I8">IF(MATCH($G8,$C$12:$C$19,1)=COLUMN(B:B),INDEX($D$2:$D$9,MATCH($G8,$C$12:$C$19,1)),0)</f>
        <v>0</v>
      </c>
      <c r="J8" s="5" cm="1">
        <f t="array" ref="J8">IF(MATCH($G8,$C$12:$C$19,1)=COLUMN(C:C),INDEX($D$2:$D$9,MATCH($G8,$C$12:$C$19,1)),0)</f>
        <v>6.1</v>
      </c>
      <c r="K8" s="5" cm="1">
        <f t="array" ref="K8">IF(MATCH($G8,$C$12:$C$19,1)=COLUMN(D:D),INDEX($D$2:$D$9,MATCH($G8,$C$12:$C$19,1)),0)</f>
        <v>0</v>
      </c>
      <c r="L8" s="5" cm="1">
        <f t="array" ref="L8">IF(MATCH($G8,$C$12:$C$19,1)=COLUMN(E:E),INDEX($D$2:$D$9,MATCH($G8,$C$12:$C$19,1)),0)</f>
        <v>0</v>
      </c>
      <c r="M8" s="5" cm="1">
        <f t="array" ref="M8">IF(MATCH($G8,$C$12:$C$19,1)=COLUMN(F:F),INDEX($D$2:$D$9,MATCH($G8,$C$12:$C$19,1)),0)</f>
        <v>0</v>
      </c>
      <c r="N8" s="5" cm="1">
        <f t="array" ref="N8">IF(MATCH($G8,$C$12:$C$19,1)=COLUMN(G:G),INDEX($D$2:$D$9,MATCH($G8,$C$12:$C$19,1)),0)</f>
        <v>0</v>
      </c>
      <c r="O8" s="5" cm="1">
        <f t="array" ref="O8">IF(MATCH($G8,$C$12:$C$19,1)=COLUMN(H:H),INDEX($D$2:$D$9,MATCH($G8,$C$12:$C$19,1)),0)</f>
        <v>0</v>
      </c>
      <c r="P8" s="5" t="e">
        <f>NA()</f>
        <v>#N/A</v>
      </c>
      <c r="Q8" s="11">
        <v>0.6</v>
      </c>
    </row>
    <row r="9" spans="1:17" x14ac:dyDescent="0.3">
      <c r="A9" s="5" t="s">
        <v>69</v>
      </c>
      <c r="B9" s="5">
        <v>1.3</v>
      </c>
      <c r="C9" s="5">
        <v>1.3</v>
      </c>
      <c r="D9" s="5">
        <f t="shared" si="0"/>
        <v>1</v>
      </c>
      <c r="E9" s="2"/>
      <c r="G9" s="5">
        <v>8</v>
      </c>
      <c r="H9" s="5" cm="1">
        <f t="array" ref="H9">IF(MATCH($G9,$C$12:$C$19,1)=COLUMN(A:A),INDEX($D$2:$D$9,MATCH($G9,$C$12:$C$19,1)),0)</f>
        <v>0</v>
      </c>
      <c r="I9" s="5" cm="1">
        <f t="array" ref="I9">IF(MATCH($G9,$C$12:$C$19,1)=COLUMN(B:B),INDEX($D$2:$D$9,MATCH($G9,$C$12:$C$19,1)),0)</f>
        <v>0</v>
      </c>
      <c r="J9" s="21" cm="1">
        <f t="array" ref="J9">IF(MATCH($G9,$C$12:$C$19,1)=COLUMN(C:C),INDEX($D$2:$D$9,MATCH($G9,$C$12:$C$19,1)),0)</f>
        <v>6.1</v>
      </c>
      <c r="K9" s="5" cm="1">
        <f t="array" ref="K9">IF(MATCH($G9,$C$12:$C$19,1)=COLUMN(D:D),INDEX($D$2:$D$9,MATCH($G9,$C$12:$C$19,1)),0)</f>
        <v>0</v>
      </c>
      <c r="L9" s="5" cm="1">
        <f t="array" ref="L9">IF(MATCH($G9,$C$12:$C$19,1)=COLUMN(E:E),INDEX($D$2:$D$9,MATCH($G9,$C$12:$C$19,1)),0)</f>
        <v>0</v>
      </c>
      <c r="M9" s="5" cm="1">
        <f t="array" ref="M9">IF(MATCH($G9,$C$12:$C$19,1)=COLUMN(F:F),INDEX($D$2:$D$9,MATCH($G9,$C$12:$C$19,1)),0)</f>
        <v>0</v>
      </c>
      <c r="N9" s="5" cm="1">
        <f t="array" ref="N9">IF(MATCH($G9,$C$12:$C$19,1)=COLUMN(G:G),INDEX($D$2:$D$9,MATCH($G9,$C$12:$C$19,1)),0)</f>
        <v>0</v>
      </c>
      <c r="O9" s="5" cm="1">
        <f t="array" ref="O9">IF(MATCH($G9,$C$12:$C$19,1)=COLUMN(H:H),INDEX($D$2:$D$9,MATCH($G9,$C$12:$C$19,1)),0)</f>
        <v>0</v>
      </c>
      <c r="P9" s="5" t="e">
        <f>NA()</f>
        <v>#N/A</v>
      </c>
      <c r="Q9" s="11">
        <v>0.7</v>
      </c>
    </row>
    <row r="10" spans="1:17" x14ac:dyDescent="0.3">
      <c r="G10" s="5">
        <v>9</v>
      </c>
      <c r="H10" s="5" cm="1">
        <f t="array" ref="H10">IF(MATCH($G10,$C$12:$C$19,1)=COLUMN(A:A),INDEX($D$2:$D$9,MATCH($G10,$C$12:$C$19,1)),0)</f>
        <v>0</v>
      </c>
      <c r="I10" s="5" cm="1">
        <f t="array" ref="I10">IF(MATCH($G10,$C$12:$C$19,1)=COLUMN(B:B),INDEX($D$2:$D$9,MATCH($G10,$C$12:$C$19,1)),0)</f>
        <v>0</v>
      </c>
      <c r="J10" s="21" cm="1">
        <f t="array" ref="J10">IF(MATCH($G10,$C$12:$C$19,1)=COLUMN(C:C),INDEX($D$2:$D$9,MATCH($G10,$C$12:$C$19,1)),0)</f>
        <v>6.1</v>
      </c>
      <c r="K10" s="5" cm="1">
        <f t="array" ref="K10">IF(MATCH($G10,$C$12:$C$19,1)=COLUMN(D:D),INDEX($D$2:$D$9,MATCH($G10,$C$12:$C$19,1)),0)</f>
        <v>0</v>
      </c>
      <c r="L10" s="5" cm="1">
        <f t="array" ref="L10">IF(MATCH($G10,$C$12:$C$19,1)=COLUMN(E:E),INDEX($D$2:$D$9,MATCH($G10,$C$12:$C$19,1)),0)</f>
        <v>0</v>
      </c>
      <c r="M10" s="5" cm="1">
        <f t="array" ref="M10">IF(MATCH($G10,$C$12:$C$19,1)=COLUMN(F:F),INDEX($D$2:$D$9,MATCH($G10,$C$12:$C$19,1)),0)</f>
        <v>0</v>
      </c>
      <c r="N10" s="5" cm="1">
        <f t="array" ref="N10">IF(MATCH($G10,$C$12:$C$19,1)=COLUMN(G:G),INDEX($D$2:$D$9,MATCH($G10,$C$12:$C$19,1)),0)</f>
        <v>0</v>
      </c>
      <c r="O10" s="5" cm="1">
        <f t="array" ref="O10">IF(MATCH($G10,$C$12:$C$19,1)=COLUMN(H:H),INDEX($D$2:$D$9,MATCH($G10,$C$12:$C$19,1)),0)</f>
        <v>0</v>
      </c>
      <c r="P10" s="5" t="e">
        <f>NA()</f>
        <v>#N/A</v>
      </c>
      <c r="Q10" s="11">
        <v>0.8</v>
      </c>
    </row>
    <row r="11" spans="1:17" x14ac:dyDescent="0.3">
      <c r="A11" s="25" t="s">
        <v>57</v>
      </c>
      <c r="B11" s="25" t="s">
        <v>59</v>
      </c>
      <c r="C11" s="25" t="s">
        <v>46</v>
      </c>
      <c r="G11" s="5">
        <v>10</v>
      </c>
      <c r="H11" s="5" cm="1">
        <f t="array" ref="H11">IF(MATCH($G11,$C$12:$C$19,1)=COLUMN(A:A),INDEX($D$2:$D$9,MATCH($G11,$C$12:$C$19,1)),0)</f>
        <v>0</v>
      </c>
      <c r="I11" s="5" cm="1">
        <f t="array" ref="I11">IF(MATCH($G11,$C$12:$C$19,1)=COLUMN(B:B),INDEX($D$2:$D$9,MATCH($G11,$C$12:$C$19,1)),0)</f>
        <v>0</v>
      </c>
      <c r="J11" s="21" cm="1">
        <f t="array" ref="J11">IF(MATCH($G11,$C$12:$C$19,1)=COLUMN(C:C),INDEX($D$2:$D$9,MATCH($G11,$C$12:$C$19,1)),0)</f>
        <v>6.1</v>
      </c>
      <c r="K11" s="5" cm="1">
        <f t="array" ref="K11">IF(MATCH($G11,$C$12:$C$19,1)=COLUMN(D:D),INDEX($D$2:$D$9,MATCH($G11,$C$12:$C$19,1)),0)</f>
        <v>0</v>
      </c>
      <c r="L11" s="5" cm="1">
        <f t="array" ref="L11">IF(MATCH($G11,$C$12:$C$19,1)=COLUMN(E:E),INDEX($D$2:$D$9,MATCH($G11,$C$12:$C$19,1)),0)</f>
        <v>0</v>
      </c>
      <c r="M11" s="5" cm="1">
        <f t="array" ref="M11">IF(MATCH($G11,$C$12:$C$19,1)=COLUMN(F:F),INDEX($D$2:$D$9,MATCH($G11,$C$12:$C$19,1)),0)</f>
        <v>0</v>
      </c>
      <c r="N11" s="5" cm="1">
        <f t="array" ref="N11">IF(MATCH($G11,$C$12:$C$19,1)=COLUMN(G:G),INDEX($D$2:$D$9,MATCH($G11,$C$12:$C$19,1)),0)</f>
        <v>0</v>
      </c>
      <c r="O11" s="5" cm="1">
        <f t="array" ref="O11">IF(MATCH($G11,$C$12:$C$19,1)=COLUMN(H:H),INDEX($D$2:$D$9,MATCH($G11,$C$12:$C$19,1)),0)</f>
        <v>0</v>
      </c>
      <c r="P11" s="5" t="e">
        <f>NA()</f>
        <v>#N/A</v>
      </c>
      <c r="Q11" s="11">
        <v>0.9</v>
      </c>
    </row>
    <row r="12" spans="1:17" x14ac:dyDescent="0.3">
      <c r="A12" s="5" t="s">
        <v>62</v>
      </c>
      <c r="B12" s="5" cm="1">
        <f t="array" ref="B12:B19">C2:C9</f>
        <v>0.3</v>
      </c>
      <c r="C12" s="5">
        <f>SUM($B$11:B11)/0.1+1</f>
        <v>1</v>
      </c>
      <c r="G12" s="5">
        <v>11</v>
      </c>
      <c r="H12" s="5" cm="1">
        <f t="array" ref="H12">IF(MATCH($G12,$C$12:$C$19,1)=COLUMN(A:A),INDEX($D$2:$D$9,MATCH($G12,$C$12:$C$19,1)),0)</f>
        <v>0</v>
      </c>
      <c r="I12" s="5" cm="1">
        <f t="array" ref="I12">IF(MATCH($G12,$C$12:$C$19,1)=COLUMN(B:B),INDEX($D$2:$D$9,MATCH($G12,$C$12:$C$19,1)),0)</f>
        <v>0</v>
      </c>
      <c r="J12" s="21" cm="1">
        <f t="array" ref="J12">IF(MATCH($G12,$C$12:$C$19,1)=COLUMN(C:C),INDEX($D$2:$D$9,MATCH($G12,$C$12:$C$19,1)),0)</f>
        <v>6.1</v>
      </c>
      <c r="K12" s="5" cm="1">
        <f t="array" ref="K12">IF(MATCH($G12,$C$12:$C$19,1)=COLUMN(D:D),INDEX($D$2:$D$9,MATCH($G12,$C$12:$C$19,1)),0)</f>
        <v>0</v>
      </c>
      <c r="L12" s="5" cm="1">
        <f t="array" ref="L12">IF(MATCH($G12,$C$12:$C$19,1)=COLUMN(E:E),INDEX($D$2:$D$9,MATCH($G12,$C$12:$C$19,1)),0)</f>
        <v>0</v>
      </c>
      <c r="M12" s="5" cm="1">
        <f t="array" ref="M12">IF(MATCH($G12,$C$12:$C$19,1)=COLUMN(F:F),INDEX($D$2:$D$9,MATCH($G12,$C$12:$C$19,1)),0)</f>
        <v>0</v>
      </c>
      <c r="N12" s="5" cm="1">
        <f t="array" ref="N12">IF(MATCH($G12,$C$12:$C$19,1)=COLUMN(G:G),INDEX($D$2:$D$9,MATCH($G12,$C$12:$C$19,1)),0)</f>
        <v>0</v>
      </c>
      <c r="O12" s="5" cm="1">
        <f t="array" ref="O12">IF(MATCH($G12,$C$12:$C$19,1)=COLUMN(H:H),INDEX($D$2:$D$9,MATCH($G12,$C$12:$C$19,1)),0)</f>
        <v>0</v>
      </c>
      <c r="P12" s="5" t="e">
        <f>NA()</f>
        <v>#N/A</v>
      </c>
      <c r="Q12" s="11">
        <v>1</v>
      </c>
    </row>
    <row r="13" spans="1:17" x14ac:dyDescent="0.3">
      <c r="A13" s="5" t="s">
        <v>63</v>
      </c>
      <c r="B13" s="5">
        <v>0.3</v>
      </c>
      <c r="C13" s="5">
        <f>SUM($B$11:B12)/0.1+1</f>
        <v>3.9999999999999996</v>
      </c>
      <c r="G13" s="5">
        <v>12</v>
      </c>
      <c r="H13" s="5" cm="1">
        <f t="array" ref="H13">IF(MATCH($G13,$C$12:$C$19,1)=COLUMN(A:A),INDEX($D$2:$D$9,MATCH($G13,$C$12:$C$19,1)),0)</f>
        <v>0</v>
      </c>
      <c r="I13" s="5" cm="1">
        <f t="array" ref="I13">IF(MATCH($G13,$C$12:$C$19,1)=COLUMN(B:B),INDEX($D$2:$D$9,MATCH($G13,$C$12:$C$19,1)),0)</f>
        <v>0</v>
      </c>
      <c r="J13" s="21" cm="1">
        <f t="array" ref="J13">IF(MATCH($G13,$C$12:$C$19,1)=COLUMN(C:C),INDEX($D$2:$D$9,MATCH($G13,$C$12:$C$19,1)),0)</f>
        <v>6.1</v>
      </c>
      <c r="K13" s="5" cm="1">
        <f t="array" ref="K13">IF(MATCH($G13,$C$12:$C$19,1)=COLUMN(D:D),INDEX($D$2:$D$9,MATCH($G13,$C$12:$C$19,1)),0)</f>
        <v>0</v>
      </c>
      <c r="L13" s="5" cm="1">
        <f t="array" ref="L13">IF(MATCH($G13,$C$12:$C$19,1)=COLUMN(E:E),INDEX($D$2:$D$9,MATCH($G13,$C$12:$C$19,1)),0)</f>
        <v>0</v>
      </c>
      <c r="M13" s="5" cm="1">
        <f t="array" ref="M13">IF(MATCH($G13,$C$12:$C$19,1)=COLUMN(F:F),INDEX($D$2:$D$9,MATCH($G13,$C$12:$C$19,1)),0)</f>
        <v>0</v>
      </c>
      <c r="N13" s="5" cm="1">
        <f t="array" ref="N13">IF(MATCH($G13,$C$12:$C$19,1)=COLUMN(G:G),INDEX($D$2:$D$9,MATCH($G13,$C$12:$C$19,1)),0)</f>
        <v>0</v>
      </c>
      <c r="O13" s="5" cm="1">
        <f t="array" ref="O13">IF(MATCH($G13,$C$12:$C$19,1)=COLUMN(H:H),INDEX($D$2:$D$9,MATCH($G13,$C$12:$C$19,1)),0)</f>
        <v>0</v>
      </c>
      <c r="P13" s="5" t="e">
        <f>NA()</f>
        <v>#N/A</v>
      </c>
      <c r="Q13" s="11">
        <v>1.1000000000000001</v>
      </c>
    </row>
    <row r="14" spans="1:17" x14ac:dyDescent="0.3">
      <c r="A14" s="5" t="s">
        <v>64</v>
      </c>
      <c r="B14" s="5">
        <v>0.8</v>
      </c>
      <c r="C14" s="5">
        <f>SUM($B$11:B13)/0.1+1</f>
        <v>6.9999999999999991</v>
      </c>
      <c r="G14" s="5">
        <v>13</v>
      </c>
      <c r="H14" s="5" cm="1">
        <f t="array" ref="H14">IF(MATCH($G14,$C$12:$C$19,1)=COLUMN(A:A),INDEX($D$2:$D$9,MATCH($G14,$C$12:$C$19,1)),0)</f>
        <v>0</v>
      </c>
      <c r="I14" s="5" cm="1">
        <f t="array" ref="I14">IF(MATCH($G14,$C$12:$C$19,1)=COLUMN(B:B),INDEX($D$2:$D$9,MATCH($G14,$C$12:$C$19,1)),0)</f>
        <v>0</v>
      </c>
      <c r="J14" s="21" cm="1">
        <f t="array" ref="J14">IF(MATCH($G14,$C$12:$C$19,1)=COLUMN(C:C),INDEX($D$2:$D$9,MATCH($G14,$C$12:$C$19,1)),0)</f>
        <v>6.1</v>
      </c>
      <c r="K14" s="5" cm="1">
        <f t="array" ref="K14">IF(MATCH($G14,$C$12:$C$19,1)=COLUMN(D:D),INDEX($D$2:$D$9,MATCH($G14,$C$12:$C$19,1)),0)</f>
        <v>0</v>
      </c>
      <c r="L14" s="5" cm="1">
        <f t="array" ref="L14">IF(MATCH($G14,$C$12:$C$19,1)=COLUMN(E:E),INDEX($D$2:$D$9,MATCH($G14,$C$12:$C$19,1)),0)</f>
        <v>0</v>
      </c>
      <c r="M14" s="5" cm="1">
        <f t="array" ref="M14">IF(MATCH($G14,$C$12:$C$19,1)=COLUMN(F:F),INDEX($D$2:$D$9,MATCH($G14,$C$12:$C$19,1)),0)</f>
        <v>0</v>
      </c>
      <c r="N14" s="5" cm="1">
        <f t="array" ref="N14">IF(MATCH($G14,$C$12:$C$19,1)=COLUMN(G:G),INDEX($D$2:$D$9,MATCH($G14,$C$12:$C$19,1)),0)</f>
        <v>0</v>
      </c>
      <c r="O14" s="5" cm="1">
        <f t="array" ref="O14">IF(MATCH($G14,$C$12:$C$19,1)=COLUMN(H:H),INDEX($D$2:$D$9,MATCH($G14,$C$12:$C$19,1)),0)</f>
        <v>0</v>
      </c>
      <c r="P14" s="5" t="e">
        <f>NA()</f>
        <v>#N/A</v>
      </c>
      <c r="Q14" s="11">
        <v>1.2</v>
      </c>
    </row>
    <row r="15" spans="1:17" x14ac:dyDescent="0.3">
      <c r="A15" s="5" t="s">
        <v>65</v>
      </c>
      <c r="B15" s="5">
        <v>1.4</v>
      </c>
      <c r="C15" s="5">
        <f>SUM($B$11:B14)/0.1+1</f>
        <v>14.999999999999998</v>
      </c>
      <c r="G15" s="5">
        <v>14</v>
      </c>
      <c r="H15" s="5" cm="1">
        <f t="array" ref="H15">IF(MATCH($G15,$C$12:$C$19,1)=COLUMN(A:A),INDEX($D$2:$D$9,MATCH($G15,$C$12:$C$19,1)),0)</f>
        <v>0</v>
      </c>
      <c r="I15" s="5" cm="1">
        <f t="array" ref="I15">IF(MATCH($G15,$C$12:$C$19,1)=COLUMN(B:B),INDEX($D$2:$D$9,MATCH($G15,$C$12:$C$19,1)),0)</f>
        <v>0</v>
      </c>
      <c r="J15" s="21" cm="1">
        <f t="array" ref="J15">IF(MATCH($G15,$C$12:$C$19,1)=COLUMN(C:C),INDEX($D$2:$D$9,MATCH($G15,$C$12:$C$19,1)),0)</f>
        <v>6.1</v>
      </c>
      <c r="K15" s="5" cm="1">
        <f t="array" ref="K15">IF(MATCH($G15,$C$12:$C$19,1)=COLUMN(D:D),INDEX($D$2:$D$9,MATCH($G15,$C$12:$C$19,1)),0)</f>
        <v>0</v>
      </c>
      <c r="L15" s="5" cm="1">
        <f t="array" ref="L15">IF(MATCH($G15,$C$12:$C$19,1)=COLUMN(E:E),INDEX($D$2:$D$9,MATCH($G15,$C$12:$C$19,1)),0)</f>
        <v>0</v>
      </c>
      <c r="M15" s="5" cm="1">
        <f t="array" ref="M15">IF(MATCH($G15,$C$12:$C$19,1)=COLUMN(F:F),INDEX($D$2:$D$9,MATCH($G15,$C$12:$C$19,1)),0)</f>
        <v>0</v>
      </c>
      <c r="N15" s="5" cm="1">
        <f t="array" ref="N15">IF(MATCH($G15,$C$12:$C$19,1)=COLUMN(G:G),INDEX($D$2:$D$9,MATCH($G15,$C$12:$C$19,1)),0)</f>
        <v>0</v>
      </c>
      <c r="O15" s="5" cm="1">
        <f t="array" ref="O15">IF(MATCH($G15,$C$12:$C$19,1)=COLUMN(H:H),INDEX($D$2:$D$9,MATCH($G15,$C$12:$C$19,1)),0)</f>
        <v>0</v>
      </c>
      <c r="P15" s="5" t="e">
        <f>NA()</f>
        <v>#N/A</v>
      </c>
      <c r="Q15" s="11">
        <v>1.3</v>
      </c>
    </row>
    <row r="16" spans="1:17" x14ac:dyDescent="0.3">
      <c r="A16" s="5" t="s">
        <v>66</v>
      </c>
      <c r="B16" s="5">
        <v>0.7</v>
      </c>
      <c r="C16" s="5">
        <f>SUM($B$11:B15)/0.1+1</f>
        <v>28.999999999999996</v>
      </c>
      <c r="G16" s="5">
        <v>15</v>
      </c>
      <c r="H16" s="5" cm="1">
        <f t="array" ref="H16">IF(MATCH($G16,$C$12:$C$19,1)=COLUMN(A:A),INDEX($D$2:$D$9,MATCH($G16,$C$12:$C$19,1)),0)</f>
        <v>0</v>
      </c>
      <c r="I16" s="5" cm="1">
        <f t="array" ref="I16">IF(MATCH($G16,$C$12:$C$19,1)=COLUMN(B:B),INDEX($D$2:$D$9,MATCH($G16,$C$12:$C$19,1)),0)</f>
        <v>0</v>
      </c>
      <c r="J16" s="5" cm="1">
        <f t="array" ref="J16">IF(MATCH($G16,$C$12:$C$19,1)=COLUMN(C:C),INDEX($D$2:$D$9,MATCH($G16,$C$12:$C$19,1)),0)</f>
        <v>0</v>
      </c>
      <c r="K16" s="21" cm="1">
        <f t="array" ref="K16">IF(MATCH($G16,$C$12:$C$19,1)=COLUMN(D:D),INDEX($D$2:$D$9,MATCH($G16,$C$12:$C$19,1)),0)</f>
        <v>7</v>
      </c>
      <c r="L16" s="5" cm="1">
        <f t="array" ref="L16">IF(MATCH($G16,$C$12:$C$19,1)=COLUMN(E:E),INDEX($D$2:$D$9,MATCH($G16,$C$12:$C$19,1)),0)</f>
        <v>0</v>
      </c>
      <c r="M16" s="5" cm="1">
        <f t="array" ref="M16">IF(MATCH($G16,$C$12:$C$19,1)=COLUMN(F:F),INDEX($D$2:$D$9,MATCH($G16,$C$12:$C$19,1)),0)</f>
        <v>0</v>
      </c>
      <c r="N16" s="5" cm="1">
        <f t="array" ref="N16">IF(MATCH($G16,$C$12:$C$19,1)=COLUMN(G:G),INDEX($D$2:$D$9,MATCH($G16,$C$12:$C$19,1)),0)</f>
        <v>0</v>
      </c>
      <c r="O16" s="5" cm="1">
        <f t="array" ref="O16">IF(MATCH($G16,$C$12:$C$19,1)=COLUMN(H:H),INDEX($D$2:$D$9,MATCH($G16,$C$12:$C$19,1)),0)</f>
        <v>0</v>
      </c>
      <c r="P16" s="5" t="e">
        <f>NA()</f>
        <v>#N/A</v>
      </c>
      <c r="Q16" s="11">
        <v>1.4</v>
      </c>
    </row>
    <row r="17" spans="1:17" x14ac:dyDescent="0.3">
      <c r="A17" s="5" t="s">
        <v>67</v>
      </c>
      <c r="B17" s="5">
        <v>1.5</v>
      </c>
      <c r="C17" s="5">
        <f>SUM($B$11:B16)/0.1+1</f>
        <v>36</v>
      </c>
      <c r="G17" s="5">
        <v>16</v>
      </c>
      <c r="H17" s="5" cm="1">
        <f t="array" ref="H17">IF(MATCH($G17,$C$12:$C$19,1)=COLUMN(A:A),INDEX($D$2:$D$9,MATCH($G17,$C$12:$C$19,1)),0)</f>
        <v>0</v>
      </c>
      <c r="I17" s="5" cm="1">
        <f t="array" ref="I17">IF(MATCH($G17,$C$12:$C$19,1)=COLUMN(B:B),INDEX($D$2:$D$9,MATCH($G17,$C$12:$C$19,1)),0)</f>
        <v>0</v>
      </c>
      <c r="J17" s="5" cm="1">
        <f t="array" ref="J17">IF(MATCH($G17,$C$12:$C$19,1)=COLUMN(C:C),INDEX($D$2:$D$9,MATCH($G17,$C$12:$C$19,1)),0)</f>
        <v>0</v>
      </c>
      <c r="K17" s="21" cm="1">
        <f t="array" ref="K17">IF(MATCH($G17,$C$12:$C$19,1)=COLUMN(D:D),INDEX($D$2:$D$9,MATCH($G17,$C$12:$C$19,1)),0)</f>
        <v>7</v>
      </c>
      <c r="L17" s="5" cm="1">
        <f t="array" ref="L17">IF(MATCH($G17,$C$12:$C$19,1)=COLUMN(E:E),INDEX($D$2:$D$9,MATCH($G17,$C$12:$C$19,1)),0)</f>
        <v>0</v>
      </c>
      <c r="M17" s="5" cm="1">
        <f t="array" ref="M17">IF(MATCH($G17,$C$12:$C$19,1)=COLUMN(F:F),INDEX($D$2:$D$9,MATCH($G17,$C$12:$C$19,1)),0)</f>
        <v>0</v>
      </c>
      <c r="N17" s="5" cm="1">
        <f t="array" ref="N17">IF(MATCH($G17,$C$12:$C$19,1)=COLUMN(G:G),INDEX($D$2:$D$9,MATCH($G17,$C$12:$C$19,1)),0)</f>
        <v>0</v>
      </c>
      <c r="O17" s="5" cm="1">
        <f t="array" ref="O17">IF(MATCH($G17,$C$12:$C$19,1)=COLUMN(H:H),INDEX($D$2:$D$9,MATCH($G17,$C$12:$C$19,1)),0)</f>
        <v>0</v>
      </c>
      <c r="P17" s="5" t="e">
        <f>NA()</f>
        <v>#N/A</v>
      </c>
      <c r="Q17" s="11">
        <v>1.5</v>
      </c>
    </row>
    <row r="18" spans="1:17" x14ac:dyDescent="0.3">
      <c r="A18" s="5" t="s">
        <v>68</v>
      </c>
      <c r="B18" s="5">
        <v>1.4</v>
      </c>
      <c r="C18" s="5">
        <f>SUM($B$11:B17)/0.1+1</f>
        <v>51</v>
      </c>
      <c r="G18" s="5">
        <v>17</v>
      </c>
      <c r="H18" s="5" cm="1">
        <f t="array" ref="H18">IF(MATCH($G18,$C$12:$C$19,1)=COLUMN(A:A),INDEX($D$2:$D$9,MATCH($G18,$C$12:$C$19,1)),0)</f>
        <v>0</v>
      </c>
      <c r="I18" s="5" cm="1">
        <f t="array" ref="I18">IF(MATCH($G18,$C$12:$C$19,1)=COLUMN(B:B),INDEX($D$2:$D$9,MATCH($G18,$C$12:$C$19,1)),0)</f>
        <v>0</v>
      </c>
      <c r="J18" s="5" cm="1">
        <f t="array" ref="J18">IF(MATCH($G18,$C$12:$C$19,1)=COLUMN(C:C),INDEX($D$2:$D$9,MATCH($G18,$C$12:$C$19,1)),0)</f>
        <v>0</v>
      </c>
      <c r="K18" s="21" cm="1">
        <f t="array" ref="K18">IF(MATCH($G18,$C$12:$C$19,1)=COLUMN(D:D),INDEX($D$2:$D$9,MATCH($G18,$C$12:$C$19,1)),0)</f>
        <v>7</v>
      </c>
      <c r="L18" s="5" cm="1">
        <f t="array" ref="L18">IF(MATCH($G18,$C$12:$C$19,1)=COLUMN(E:E),INDEX($D$2:$D$9,MATCH($G18,$C$12:$C$19,1)),0)</f>
        <v>0</v>
      </c>
      <c r="M18" s="5" cm="1">
        <f t="array" ref="M18">IF(MATCH($G18,$C$12:$C$19,1)=COLUMN(F:F),INDEX($D$2:$D$9,MATCH($G18,$C$12:$C$19,1)),0)</f>
        <v>0</v>
      </c>
      <c r="N18" s="5" cm="1">
        <f t="array" ref="N18">IF(MATCH($G18,$C$12:$C$19,1)=COLUMN(G:G),INDEX($D$2:$D$9,MATCH($G18,$C$12:$C$19,1)),0)</f>
        <v>0</v>
      </c>
      <c r="O18" s="5" cm="1">
        <f t="array" ref="O18">IF(MATCH($G18,$C$12:$C$19,1)=COLUMN(H:H),INDEX($D$2:$D$9,MATCH($G18,$C$12:$C$19,1)),0)</f>
        <v>0</v>
      </c>
      <c r="P18" s="5" t="e">
        <f>NA()</f>
        <v>#N/A</v>
      </c>
      <c r="Q18" s="11">
        <v>1.6</v>
      </c>
    </row>
    <row r="19" spans="1:17" x14ac:dyDescent="0.3">
      <c r="A19" s="5" t="s">
        <v>69</v>
      </c>
      <c r="B19" s="5">
        <v>1.3</v>
      </c>
      <c r="C19" s="5">
        <f>SUM($B$11:B18)/0.1+1</f>
        <v>65</v>
      </c>
      <c r="G19" s="5">
        <v>18</v>
      </c>
      <c r="H19" s="5" cm="1">
        <f t="array" ref="H19">IF(MATCH($G19,$C$12:$C$19,1)=COLUMN(A:A),INDEX($D$2:$D$9,MATCH($G19,$C$12:$C$19,1)),0)</f>
        <v>0</v>
      </c>
      <c r="I19" s="5" cm="1">
        <f t="array" ref="I19">IF(MATCH($G19,$C$12:$C$19,1)=COLUMN(B:B),INDEX($D$2:$D$9,MATCH($G19,$C$12:$C$19,1)),0)</f>
        <v>0</v>
      </c>
      <c r="J19" s="5" cm="1">
        <f t="array" ref="J19">IF(MATCH($G19,$C$12:$C$19,1)=COLUMN(C:C),INDEX($D$2:$D$9,MATCH($G19,$C$12:$C$19,1)),0)</f>
        <v>0</v>
      </c>
      <c r="K19" s="21" cm="1">
        <f t="array" ref="K19">IF(MATCH($G19,$C$12:$C$19,1)=COLUMN(D:D),INDEX($D$2:$D$9,MATCH($G19,$C$12:$C$19,1)),0)</f>
        <v>7</v>
      </c>
      <c r="L19" s="5" cm="1">
        <f t="array" ref="L19">IF(MATCH($G19,$C$12:$C$19,1)=COLUMN(E:E),INDEX($D$2:$D$9,MATCH($G19,$C$12:$C$19,1)),0)</f>
        <v>0</v>
      </c>
      <c r="M19" s="5" cm="1">
        <f t="array" ref="M19">IF(MATCH($G19,$C$12:$C$19,1)=COLUMN(F:F),INDEX($D$2:$D$9,MATCH($G19,$C$12:$C$19,1)),0)</f>
        <v>0</v>
      </c>
      <c r="N19" s="5" cm="1">
        <f t="array" ref="N19">IF(MATCH($G19,$C$12:$C$19,1)=COLUMN(G:G),INDEX($D$2:$D$9,MATCH($G19,$C$12:$C$19,1)),0)</f>
        <v>0</v>
      </c>
      <c r="O19" s="5" cm="1">
        <f t="array" ref="O19">IF(MATCH($G19,$C$12:$C$19,1)=COLUMN(H:H),INDEX($D$2:$D$9,MATCH($G19,$C$12:$C$19,1)),0)</f>
        <v>0</v>
      </c>
      <c r="P19" s="5" t="e">
        <f>NA()</f>
        <v>#N/A</v>
      </c>
      <c r="Q19" s="11">
        <v>1.7</v>
      </c>
    </row>
    <row r="20" spans="1:17" x14ac:dyDescent="0.3">
      <c r="G20" s="5">
        <v>19</v>
      </c>
      <c r="H20" s="5" cm="1">
        <f t="array" ref="H20">IF(MATCH($G20,$C$12:$C$19,1)=COLUMN(A:A),INDEX($D$2:$D$9,MATCH($G20,$C$12:$C$19,1)),0)</f>
        <v>0</v>
      </c>
      <c r="I20" s="5" cm="1">
        <f t="array" ref="I20">IF(MATCH($G20,$C$12:$C$19,1)=COLUMN(B:B),INDEX($D$2:$D$9,MATCH($G20,$C$12:$C$19,1)),0)</f>
        <v>0</v>
      </c>
      <c r="J20" s="5" cm="1">
        <f t="array" ref="J20">IF(MATCH($G20,$C$12:$C$19,1)=COLUMN(C:C),INDEX($D$2:$D$9,MATCH($G20,$C$12:$C$19,1)),0)</f>
        <v>0</v>
      </c>
      <c r="K20" s="21" cm="1">
        <f t="array" ref="K20">IF(MATCH($G20,$C$12:$C$19,1)=COLUMN(D:D),INDEX($D$2:$D$9,MATCH($G20,$C$12:$C$19,1)),0)</f>
        <v>7</v>
      </c>
      <c r="L20" s="5" cm="1">
        <f t="array" ref="L20">IF(MATCH($G20,$C$12:$C$19,1)=COLUMN(E:E),INDEX($D$2:$D$9,MATCH($G20,$C$12:$C$19,1)),0)</f>
        <v>0</v>
      </c>
      <c r="M20" s="5" cm="1">
        <f t="array" ref="M20">IF(MATCH($G20,$C$12:$C$19,1)=COLUMN(F:F),INDEX($D$2:$D$9,MATCH($G20,$C$12:$C$19,1)),0)</f>
        <v>0</v>
      </c>
      <c r="N20" s="5" cm="1">
        <f t="array" ref="N20">IF(MATCH($G20,$C$12:$C$19,1)=COLUMN(G:G),INDEX($D$2:$D$9,MATCH($G20,$C$12:$C$19,1)),0)</f>
        <v>0</v>
      </c>
      <c r="O20" s="5" cm="1">
        <f t="array" ref="O20">IF(MATCH($G20,$C$12:$C$19,1)=COLUMN(H:H),INDEX($D$2:$D$9,MATCH($G20,$C$12:$C$19,1)),0)</f>
        <v>0</v>
      </c>
      <c r="P20" s="5" t="e">
        <f>NA()</f>
        <v>#N/A</v>
      </c>
      <c r="Q20" s="11">
        <v>1.8</v>
      </c>
    </row>
    <row r="21" spans="1:17" ht="20" x14ac:dyDescent="0.3">
      <c r="A21" s="24" t="s">
        <v>72</v>
      </c>
      <c r="B21" s="24"/>
      <c r="C21" s="24"/>
      <c r="D21" s="24"/>
      <c r="E21" s="24"/>
      <c r="G21" s="5">
        <v>20</v>
      </c>
      <c r="H21" s="5" cm="1">
        <f t="array" ref="H21">IF(MATCH($G21,$C$12:$C$19,1)=COLUMN(A:A),INDEX($D$2:$D$9,MATCH($G21,$C$12:$C$19,1)),0)</f>
        <v>0</v>
      </c>
      <c r="I21" s="5" cm="1">
        <f t="array" ref="I21">IF(MATCH($G21,$C$12:$C$19,1)=COLUMN(B:B),INDEX($D$2:$D$9,MATCH($G21,$C$12:$C$19,1)),0)</f>
        <v>0</v>
      </c>
      <c r="J21" s="5" cm="1">
        <f t="array" ref="J21">IF(MATCH($G21,$C$12:$C$19,1)=COLUMN(C:C),INDEX($D$2:$D$9,MATCH($G21,$C$12:$C$19,1)),0)</f>
        <v>0</v>
      </c>
      <c r="K21" s="21" cm="1">
        <f t="array" ref="K21">IF(MATCH($G21,$C$12:$C$19,1)=COLUMN(D:D),INDEX($D$2:$D$9,MATCH($G21,$C$12:$C$19,1)),0)</f>
        <v>7</v>
      </c>
      <c r="L21" s="5" cm="1">
        <f t="array" ref="L21">IF(MATCH($G21,$C$12:$C$19,1)=COLUMN(E:E),INDEX($D$2:$D$9,MATCH($G21,$C$12:$C$19,1)),0)</f>
        <v>0</v>
      </c>
      <c r="M21" s="5" cm="1">
        <f t="array" ref="M21">IF(MATCH($G21,$C$12:$C$19,1)=COLUMN(F:F),INDEX($D$2:$D$9,MATCH($G21,$C$12:$C$19,1)),0)</f>
        <v>0</v>
      </c>
      <c r="N21" s="5" cm="1">
        <f t="array" ref="N21">IF(MATCH($G21,$C$12:$C$19,1)=COLUMN(G:G),INDEX($D$2:$D$9,MATCH($G21,$C$12:$C$19,1)),0)</f>
        <v>0</v>
      </c>
      <c r="O21" s="5" cm="1">
        <f t="array" ref="O21">IF(MATCH($G21,$C$12:$C$19,1)=COLUMN(H:H),INDEX($D$2:$D$9,MATCH($G21,$C$12:$C$19,1)),0)</f>
        <v>0</v>
      </c>
      <c r="P21" s="5" t="e">
        <f>NA()</f>
        <v>#N/A</v>
      </c>
      <c r="Q21" s="11">
        <v>1.9</v>
      </c>
    </row>
    <row r="22" spans="1:17" x14ac:dyDescent="0.3">
      <c r="G22" s="5">
        <v>21</v>
      </c>
      <c r="H22" s="5" cm="1">
        <f t="array" ref="H22">IF(MATCH($G22,$C$12:$C$19,1)=COLUMN(A:A),INDEX($D$2:$D$9,MATCH($G22,$C$12:$C$19,1)),0)</f>
        <v>0</v>
      </c>
      <c r="I22" s="5" cm="1">
        <f t="array" ref="I22">IF(MATCH($G22,$C$12:$C$19,1)=COLUMN(B:B),INDEX($D$2:$D$9,MATCH($G22,$C$12:$C$19,1)),0)</f>
        <v>0</v>
      </c>
      <c r="J22" s="5" cm="1">
        <f t="array" ref="J22">IF(MATCH($G22,$C$12:$C$19,1)=COLUMN(C:C),INDEX($D$2:$D$9,MATCH($G22,$C$12:$C$19,1)),0)</f>
        <v>0</v>
      </c>
      <c r="K22" s="21" cm="1">
        <f t="array" ref="K22">IF(MATCH($G22,$C$12:$C$19,1)=COLUMN(D:D),INDEX($D$2:$D$9,MATCH($G22,$C$12:$C$19,1)),0)</f>
        <v>7</v>
      </c>
      <c r="L22" s="5" cm="1">
        <f t="array" ref="L22">IF(MATCH($G22,$C$12:$C$19,1)=COLUMN(E:E),INDEX($D$2:$D$9,MATCH($G22,$C$12:$C$19,1)),0)</f>
        <v>0</v>
      </c>
      <c r="M22" s="5" cm="1">
        <f t="array" ref="M22">IF(MATCH($G22,$C$12:$C$19,1)=COLUMN(F:F),INDEX($D$2:$D$9,MATCH($G22,$C$12:$C$19,1)),0)</f>
        <v>0</v>
      </c>
      <c r="N22" s="5" cm="1">
        <f t="array" ref="N22">IF(MATCH($G22,$C$12:$C$19,1)=COLUMN(G:G),INDEX($D$2:$D$9,MATCH($G22,$C$12:$C$19,1)),0)</f>
        <v>0</v>
      </c>
      <c r="O22" s="5" cm="1">
        <f t="array" ref="O22">IF(MATCH($G22,$C$12:$C$19,1)=COLUMN(H:H),INDEX($D$2:$D$9,MATCH($G22,$C$12:$C$19,1)),0)</f>
        <v>0</v>
      </c>
      <c r="P22" s="5" t="e">
        <f>NA()</f>
        <v>#N/A</v>
      </c>
      <c r="Q22" s="11">
        <v>2</v>
      </c>
    </row>
    <row r="23" spans="1:17" x14ac:dyDescent="0.3">
      <c r="G23" s="5">
        <v>22</v>
      </c>
      <c r="H23" s="5" cm="1">
        <f t="array" ref="H23">IF(MATCH($G23,$C$12:$C$19,1)=COLUMN(A:A),INDEX($D$2:$D$9,MATCH($G23,$C$12:$C$19,1)),0)</f>
        <v>0</v>
      </c>
      <c r="I23" s="5" cm="1">
        <f t="array" ref="I23">IF(MATCH($G23,$C$12:$C$19,1)=COLUMN(B:B),INDEX($D$2:$D$9,MATCH($G23,$C$12:$C$19,1)),0)</f>
        <v>0</v>
      </c>
      <c r="J23" s="5" cm="1">
        <f t="array" ref="J23">IF(MATCH($G23,$C$12:$C$19,1)=COLUMN(C:C),INDEX($D$2:$D$9,MATCH($G23,$C$12:$C$19,1)),0)</f>
        <v>0</v>
      </c>
      <c r="K23" s="21" cm="1">
        <f t="array" ref="K23">IF(MATCH($G23,$C$12:$C$19,1)=COLUMN(D:D),INDEX($D$2:$D$9,MATCH($G23,$C$12:$C$19,1)),0)</f>
        <v>7</v>
      </c>
      <c r="L23" s="5" cm="1">
        <f t="array" ref="L23">IF(MATCH($G23,$C$12:$C$19,1)=COLUMN(E:E),INDEX($D$2:$D$9,MATCH($G23,$C$12:$C$19,1)),0)</f>
        <v>0</v>
      </c>
      <c r="M23" s="5" cm="1">
        <f t="array" ref="M23">IF(MATCH($G23,$C$12:$C$19,1)=COLUMN(F:F),INDEX($D$2:$D$9,MATCH($G23,$C$12:$C$19,1)),0)</f>
        <v>0</v>
      </c>
      <c r="N23" s="5" cm="1">
        <f t="array" ref="N23">IF(MATCH($G23,$C$12:$C$19,1)=COLUMN(G:G),INDEX($D$2:$D$9,MATCH($G23,$C$12:$C$19,1)),0)</f>
        <v>0</v>
      </c>
      <c r="O23" s="5" cm="1">
        <f t="array" ref="O23">IF(MATCH($G23,$C$12:$C$19,1)=COLUMN(H:H),INDEX($D$2:$D$9,MATCH($G23,$C$12:$C$19,1)),0)</f>
        <v>0</v>
      </c>
      <c r="P23" s="5" t="e">
        <f>NA()</f>
        <v>#N/A</v>
      </c>
      <c r="Q23" s="11">
        <v>2.1</v>
      </c>
    </row>
    <row r="24" spans="1:17" x14ac:dyDescent="0.3">
      <c r="G24" s="5">
        <v>23</v>
      </c>
      <c r="H24" s="5" cm="1">
        <f t="array" ref="H24">IF(MATCH($G24,$C$12:$C$19,1)=COLUMN(A:A),INDEX($D$2:$D$9,MATCH($G24,$C$12:$C$19,1)),0)</f>
        <v>0</v>
      </c>
      <c r="I24" s="5" cm="1">
        <f t="array" ref="I24">IF(MATCH($G24,$C$12:$C$19,1)=COLUMN(B:B),INDEX($D$2:$D$9,MATCH($G24,$C$12:$C$19,1)),0)</f>
        <v>0</v>
      </c>
      <c r="J24" s="5" cm="1">
        <f t="array" ref="J24">IF(MATCH($G24,$C$12:$C$19,1)=COLUMN(C:C),INDEX($D$2:$D$9,MATCH($G24,$C$12:$C$19,1)),0)</f>
        <v>0</v>
      </c>
      <c r="K24" s="21" cm="1">
        <f t="array" ref="K24">IF(MATCH($G24,$C$12:$C$19,1)=COLUMN(D:D),INDEX($D$2:$D$9,MATCH($G24,$C$12:$C$19,1)),0)</f>
        <v>7</v>
      </c>
      <c r="L24" s="5" cm="1">
        <f t="array" ref="L24">IF(MATCH($G24,$C$12:$C$19,1)=COLUMN(E:E),INDEX($D$2:$D$9,MATCH($G24,$C$12:$C$19,1)),0)</f>
        <v>0</v>
      </c>
      <c r="M24" s="5" cm="1">
        <f t="array" ref="M24">IF(MATCH($G24,$C$12:$C$19,1)=COLUMN(F:F),INDEX($D$2:$D$9,MATCH($G24,$C$12:$C$19,1)),0)</f>
        <v>0</v>
      </c>
      <c r="N24" s="5" cm="1">
        <f t="array" ref="N24">IF(MATCH($G24,$C$12:$C$19,1)=COLUMN(G:G),INDEX($D$2:$D$9,MATCH($G24,$C$12:$C$19,1)),0)</f>
        <v>0</v>
      </c>
      <c r="O24" s="5" cm="1">
        <f t="array" ref="O24">IF(MATCH($G24,$C$12:$C$19,1)=COLUMN(H:H),INDEX($D$2:$D$9,MATCH($G24,$C$12:$C$19,1)),0)</f>
        <v>0</v>
      </c>
      <c r="P24" s="5" t="e">
        <f>NA()</f>
        <v>#N/A</v>
      </c>
      <c r="Q24" s="11">
        <v>2.2000000000000002</v>
      </c>
    </row>
    <row r="25" spans="1:17" x14ac:dyDescent="0.3">
      <c r="G25" s="5">
        <v>24</v>
      </c>
      <c r="H25" s="5" cm="1">
        <f t="array" ref="H25">IF(MATCH($G25,$C$12:$C$19,1)=COLUMN(A:A),INDEX($D$2:$D$9,MATCH($G25,$C$12:$C$19,1)),0)</f>
        <v>0</v>
      </c>
      <c r="I25" s="5" cm="1">
        <f t="array" ref="I25">IF(MATCH($G25,$C$12:$C$19,1)=COLUMN(B:B),INDEX($D$2:$D$9,MATCH($G25,$C$12:$C$19,1)),0)</f>
        <v>0</v>
      </c>
      <c r="J25" s="5" cm="1">
        <f t="array" ref="J25">IF(MATCH($G25,$C$12:$C$19,1)=COLUMN(C:C),INDEX($D$2:$D$9,MATCH($G25,$C$12:$C$19,1)),0)</f>
        <v>0</v>
      </c>
      <c r="K25" s="21" cm="1">
        <f t="array" ref="K25">IF(MATCH($G25,$C$12:$C$19,1)=COLUMN(D:D),INDEX($D$2:$D$9,MATCH($G25,$C$12:$C$19,1)),0)</f>
        <v>7</v>
      </c>
      <c r="L25" s="5" cm="1">
        <f t="array" ref="L25">IF(MATCH($G25,$C$12:$C$19,1)=COLUMN(E:E),INDEX($D$2:$D$9,MATCH($G25,$C$12:$C$19,1)),0)</f>
        <v>0</v>
      </c>
      <c r="M25" s="5" cm="1">
        <f t="array" ref="M25">IF(MATCH($G25,$C$12:$C$19,1)=COLUMN(F:F),INDEX($D$2:$D$9,MATCH($G25,$C$12:$C$19,1)),0)</f>
        <v>0</v>
      </c>
      <c r="N25" s="5" cm="1">
        <f t="array" ref="N25">IF(MATCH($G25,$C$12:$C$19,1)=COLUMN(G:G),INDEX($D$2:$D$9,MATCH($G25,$C$12:$C$19,1)),0)</f>
        <v>0</v>
      </c>
      <c r="O25" s="5" cm="1">
        <f t="array" ref="O25">IF(MATCH($G25,$C$12:$C$19,1)=COLUMN(H:H),INDEX($D$2:$D$9,MATCH($G25,$C$12:$C$19,1)),0)</f>
        <v>0</v>
      </c>
      <c r="P25" s="5" t="e">
        <f>NA()</f>
        <v>#N/A</v>
      </c>
      <c r="Q25" s="11">
        <v>2.2999999999999998</v>
      </c>
    </row>
    <row r="26" spans="1:17" x14ac:dyDescent="0.3">
      <c r="G26" s="5">
        <v>25</v>
      </c>
      <c r="H26" s="5" cm="1">
        <f t="array" ref="H26">IF(MATCH($G26,$C$12:$C$19,1)=COLUMN(A:A),INDEX($D$2:$D$9,MATCH($G26,$C$12:$C$19,1)),0)</f>
        <v>0</v>
      </c>
      <c r="I26" s="5" cm="1">
        <f t="array" ref="I26">IF(MATCH($G26,$C$12:$C$19,1)=COLUMN(B:B),INDEX($D$2:$D$9,MATCH($G26,$C$12:$C$19,1)),0)</f>
        <v>0</v>
      </c>
      <c r="J26" s="5" cm="1">
        <f t="array" ref="J26">IF(MATCH($G26,$C$12:$C$19,1)=COLUMN(C:C),INDEX($D$2:$D$9,MATCH($G26,$C$12:$C$19,1)),0)</f>
        <v>0</v>
      </c>
      <c r="K26" s="21" cm="1">
        <f t="array" ref="K26">IF(MATCH($G26,$C$12:$C$19,1)=COLUMN(D:D),INDEX($D$2:$D$9,MATCH($G26,$C$12:$C$19,1)),0)</f>
        <v>7</v>
      </c>
      <c r="L26" s="5" cm="1">
        <f t="array" ref="L26">IF(MATCH($G26,$C$12:$C$19,1)=COLUMN(E:E),INDEX($D$2:$D$9,MATCH($G26,$C$12:$C$19,1)),0)</f>
        <v>0</v>
      </c>
      <c r="M26" s="5" cm="1">
        <f t="array" ref="M26">IF(MATCH($G26,$C$12:$C$19,1)=COLUMN(F:F),INDEX($D$2:$D$9,MATCH($G26,$C$12:$C$19,1)),0)</f>
        <v>0</v>
      </c>
      <c r="N26" s="5" cm="1">
        <f t="array" ref="N26">IF(MATCH($G26,$C$12:$C$19,1)=COLUMN(G:G),INDEX($D$2:$D$9,MATCH($G26,$C$12:$C$19,1)),0)</f>
        <v>0</v>
      </c>
      <c r="O26" s="5" cm="1">
        <f t="array" ref="O26">IF(MATCH($G26,$C$12:$C$19,1)=COLUMN(H:H),INDEX($D$2:$D$9,MATCH($G26,$C$12:$C$19,1)),0)</f>
        <v>0</v>
      </c>
      <c r="P26" s="5" t="e">
        <f>NA()</f>
        <v>#N/A</v>
      </c>
      <c r="Q26" s="11">
        <v>2.4</v>
      </c>
    </row>
    <row r="27" spans="1:17" x14ac:dyDescent="0.3">
      <c r="G27" s="5">
        <v>26</v>
      </c>
      <c r="H27" s="5" cm="1">
        <f t="array" ref="H27">IF(MATCH($G27,$C$12:$C$19,1)=COLUMN(A:A),INDEX($D$2:$D$9,MATCH($G27,$C$12:$C$19,1)),0)</f>
        <v>0</v>
      </c>
      <c r="I27" s="5" cm="1">
        <f t="array" ref="I27">IF(MATCH($G27,$C$12:$C$19,1)=COLUMN(B:B),INDEX($D$2:$D$9,MATCH($G27,$C$12:$C$19,1)),0)</f>
        <v>0</v>
      </c>
      <c r="J27" s="5" cm="1">
        <f t="array" ref="J27">IF(MATCH($G27,$C$12:$C$19,1)=COLUMN(C:C),INDEX($D$2:$D$9,MATCH($G27,$C$12:$C$19,1)),0)</f>
        <v>0</v>
      </c>
      <c r="K27" s="21" cm="1">
        <f t="array" ref="K27">IF(MATCH($G27,$C$12:$C$19,1)=COLUMN(D:D),INDEX($D$2:$D$9,MATCH($G27,$C$12:$C$19,1)),0)</f>
        <v>7</v>
      </c>
      <c r="L27" s="5" cm="1">
        <f t="array" ref="L27">IF(MATCH($G27,$C$12:$C$19,1)=COLUMN(E:E),INDEX($D$2:$D$9,MATCH($G27,$C$12:$C$19,1)),0)</f>
        <v>0</v>
      </c>
      <c r="M27" s="5" cm="1">
        <f t="array" ref="M27">IF(MATCH($G27,$C$12:$C$19,1)=COLUMN(F:F),INDEX($D$2:$D$9,MATCH($G27,$C$12:$C$19,1)),0)</f>
        <v>0</v>
      </c>
      <c r="N27" s="5" cm="1">
        <f t="array" ref="N27">IF(MATCH($G27,$C$12:$C$19,1)=COLUMN(G:G),INDEX($D$2:$D$9,MATCH($G27,$C$12:$C$19,1)),0)</f>
        <v>0</v>
      </c>
      <c r="O27" s="5" cm="1">
        <f t="array" ref="O27">IF(MATCH($G27,$C$12:$C$19,1)=COLUMN(H:H),INDEX($D$2:$D$9,MATCH($G27,$C$12:$C$19,1)),0)</f>
        <v>0</v>
      </c>
      <c r="P27" s="5" t="e">
        <f>NA()</f>
        <v>#N/A</v>
      </c>
      <c r="Q27" s="11">
        <v>2.5</v>
      </c>
    </row>
    <row r="28" spans="1:17" x14ac:dyDescent="0.3">
      <c r="G28" s="5">
        <v>27</v>
      </c>
      <c r="H28" s="5" cm="1">
        <f t="array" ref="H28">IF(MATCH($G28,$C$12:$C$19,1)=COLUMN(A:A),INDEX($D$2:$D$9,MATCH($G28,$C$12:$C$19,1)),0)</f>
        <v>0</v>
      </c>
      <c r="I28" s="5" cm="1">
        <f t="array" ref="I28">IF(MATCH($G28,$C$12:$C$19,1)=COLUMN(B:B),INDEX($D$2:$D$9,MATCH($G28,$C$12:$C$19,1)),0)</f>
        <v>0</v>
      </c>
      <c r="J28" s="5" cm="1">
        <f t="array" ref="J28">IF(MATCH($G28,$C$12:$C$19,1)=COLUMN(C:C),INDEX($D$2:$D$9,MATCH($G28,$C$12:$C$19,1)),0)</f>
        <v>0</v>
      </c>
      <c r="K28" s="21" cm="1">
        <f t="array" ref="K28">IF(MATCH($G28,$C$12:$C$19,1)=COLUMN(D:D),INDEX($D$2:$D$9,MATCH($G28,$C$12:$C$19,1)),0)</f>
        <v>7</v>
      </c>
      <c r="L28" s="5" cm="1">
        <f t="array" ref="L28">IF(MATCH($G28,$C$12:$C$19,1)=COLUMN(E:E),INDEX($D$2:$D$9,MATCH($G28,$C$12:$C$19,1)),0)</f>
        <v>0</v>
      </c>
      <c r="M28" s="5" cm="1">
        <f t="array" ref="M28">IF(MATCH($G28,$C$12:$C$19,1)=COLUMN(F:F),INDEX($D$2:$D$9,MATCH($G28,$C$12:$C$19,1)),0)</f>
        <v>0</v>
      </c>
      <c r="N28" s="5" cm="1">
        <f t="array" ref="N28">IF(MATCH($G28,$C$12:$C$19,1)=COLUMN(G:G),INDEX($D$2:$D$9,MATCH($G28,$C$12:$C$19,1)),0)</f>
        <v>0</v>
      </c>
      <c r="O28" s="5" cm="1">
        <f t="array" ref="O28">IF(MATCH($G28,$C$12:$C$19,1)=COLUMN(H:H),INDEX($D$2:$D$9,MATCH($G28,$C$12:$C$19,1)),0)</f>
        <v>0</v>
      </c>
      <c r="P28" s="5" t="e">
        <f>NA()</f>
        <v>#N/A</v>
      </c>
      <c r="Q28" s="11">
        <v>2.6</v>
      </c>
    </row>
    <row r="29" spans="1:17" x14ac:dyDescent="0.3">
      <c r="G29" s="5">
        <v>28</v>
      </c>
      <c r="H29" s="5" cm="1">
        <f t="array" ref="H29">IF(MATCH($G29,$C$12:$C$19,1)=COLUMN(A:A),INDEX($D$2:$D$9,MATCH($G29,$C$12:$C$19,1)),0)</f>
        <v>0</v>
      </c>
      <c r="I29" s="5" cm="1">
        <f t="array" ref="I29">IF(MATCH($G29,$C$12:$C$19,1)=COLUMN(B:B),INDEX($D$2:$D$9,MATCH($G29,$C$12:$C$19,1)),0)</f>
        <v>0</v>
      </c>
      <c r="J29" s="5" cm="1">
        <f t="array" ref="J29">IF(MATCH($G29,$C$12:$C$19,1)=COLUMN(C:C),INDEX($D$2:$D$9,MATCH($G29,$C$12:$C$19,1)),0)</f>
        <v>0</v>
      </c>
      <c r="K29" s="21" cm="1">
        <f t="array" ref="K29">IF(MATCH($G29,$C$12:$C$19,1)=COLUMN(D:D),INDEX($D$2:$D$9,MATCH($G29,$C$12:$C$19,1)),0)</f>
        <v>7</v>
      </c>
      <c r="L29" s="5" cm="1">
        <f t="array" ref="L29">IF(MATCH($G29,$C$12:$C$19,1)=COLUMN(E:E),INDEX($D$2:$D$9,MATCH($G29,$C$12:$C$19,1)),0)</f>
        <v>0</v>
      </c>
      <c r="M29" s="5" cm="1">
        <f t="array" ref="M29">IF(MATCH($G29,$C$12:$C$19,1)=COLUMN(F:F),INDEX($D$2:$D$9,MATCH($G29,$C$12:$C$19,1)),0)</f>
        <v>0</v>
      </c>
      <c r="N29" s="5" cm="1">
        <f t="array" ref="N29">IF(MATCH($G29,$C$12:$C$19,1)=COLUMN(G:G),INDEX($D$2:$D$9,MATCH($G29,$C$12:$C$19,1)),0)</f>
        <v>0</v>
      </c>
      <c r="O29" s="5" cm="1">
        <f t="array" ref="O29">IF(MATCH($G29,$C$12:$C$19,1)=COLUMN(H:H),INDEX($D$2:$D$9,MATCH($G29,$C$12:$C$19,1)),0)</f>
        <v>0</v>
      </c>
      <c r="P29" s="5" t="e">
        <f>NA()</f>
        <v>#N/A</v>
      </c>
      <c r="Q29" s="11">
        <v>2.7</v>
      </c>
    </row>
    <row r="30" spans="1:17" x14ac:dyDescent="0.3">
      <c r="G30" s="5">
        <v>29</v>
      </c>
      <c r="H30" s="5" cm="1">
        <f t="array" ref="H30">IF(MATCH($G30,$C$12:$C$19,1)=COLUMN(A:A),INDEX($D$2:$D$9,MATCH($G30,$C$12:$C$19,1)),0)</f>
        <v>0</v>
      </c>
      <c r="I30" s="5" cm="1">
        <f t="array" ref="I30">IF(MATCH($G30,$C$12:$C$19,1)=COLUMN(B:B),INDEX($D$2:$D$9,MATCH($G30,$C$12:$C$19,1)),0)</f>
        <v>0</v>
      </c>
      <c r="J30" s="5" cm="1">
        <f t="array" ref="J30">IF(MATCH($G30,$C$12:$C$19,1)=COLUMN(C:C),INDEX($D$2:$D$9,MATCH($G30,$C$12:$C$19,1)),0)</f>
        <v>0</v>
      </c>
      <c r="K30" s="5" cm="1">
        <f t="array" ref="K30">IF(MATCH($G30,$C$12:$C$19,1)=COLUMN(D:D),INDEX($D$2:$D$9,MATCH($G30,$C$12:$C$19,1)),0)</f>
        <v>0</v>
      </c>
      <c r="L30" s="21" cm="1">
        <f t="array" ref="L30">IF(MATCH($G30,$C$12:$C$19,1)=COLUMN(E:E),INDEX($D$2:$D$9,MATCH($G30,$C$12:$C$19,1)),0)</f>
        <v>3.4</v>
      </c>
      <c r="M30" s="5" cm="1">
        <f t="array" ref="M30">IF(MATCH($G30,$C$12:$C$19,1)=COLUMN(F:F),INDEX($D$2:$D$9,MATCH($G30,$C$12:$C$19,1)),0)</f>
        <v>0</v>
      </c>
      <c r="N30" s="5" cm="1">
        <f t="array" ref="N30">IF(MATCH($G30,$C$12:$C$19,1)=COLUMN(G:G),INDEX($D$2:$D$9,MATCH($G30,$C$12:$C$19,1)),0)</f>
        <v>0</v>
      </c>
      <c r="O30" s="5" cm="1">
        <f t="array" ref="O30">IF(MATCH($G30,$C$12:$C$19,1)=COLUMN(H:H),INDEX($D$2:$D$9,MATCH($G30,$C$12:$C$19,1)),0)</f>
        <v>0</v>
      </c>
      <c r="P30" s="21">
        <f>$E$2</f>
        <v>4.4000000000000004</v>
      </c>
      <c r="Q30" s="11">
        <v>2.8</v>
      </c>
    </row>
    <row r="31" spans="1:17" x14ac:dyDescent="0.3">
      <c r="G31" s="5">
        <v>30</v>
      </c>
      <c r="H31" s="5" cm="1">
        <f t="array" ref="H31">IF(MATCH($G31,$C$12:$C$19,1)=COLUMN(A:A),INDEX($D$2:$D$9,MATCH($G31,$C$12:$C$19,1)),0)</f>
        <v>0</v>
      </c>
      <c r="I31" s="5" cm="1">
        <f t="array" ref="I31">IF(MATCH($G31,$C$12:$C$19,1)=COLUMN(B:B),INDEX($D$2:$D$9,MATCH($G31,$C$12:$C$19,1)),0)</f>
        <v>0</v>
      </c>
      <c r="J31" s="5" cm="1">
        <f t="array" ref="J31">IF(MATCH($G31,$C$12:$C$19,1)=COLUMN(C:C),INDEX($D$2:$D$9,MATCH($G31,$C$12:$C$19,1)),0)</f>
        <v>0</v>
      </c>
      <c r="K31" s="5" cm="1">
        <f t="array" ref="K31">IF(MATCH($G31,$C$12:$C$19,1)=COLUMN(D:D),INDEX($D$2:$D$9,MATCH($G31,$C$12:$C$19,1)),0)</f>
        <v>0</v>
      </c>
      <c r="L31" s="21" cm="1">
        <f t="array" ref="L31">IF(MATCH($G31,$C$12:$C$19,1)=COLUMN(E:E),INDEX($D$2:$D$9,MATCH($G31,$C$12:$C$19,1)),0)</f>
        <v>3.4</v>
      </c>
      <c r="M31" s="5" cm="1">
        <f t="array" ref="M31">IF(MATCH($G31,$C$12:$C$19,1)=COLUMN(F:F),INDEX($D$2:$D$9,MATCH($G31,$C$12:$C$19,1)),0)</f>
        <v>0</v>
      </c>
      <c r="N31" s="5" cm="1">
        <f t="array" ref="N31">IF(MATCH($G31,$C$12:$C$19,1)=COLUMN(G:G),INDEX($D$2:$D$9,MATCH($G31,$C$12:$C$19,1)),0)</f>
        <v>0</v>
      </c>
      <c r="O31" s="5" cm="1">
        <f t="array" ref="O31">IF(MATCH($G31,$C$12:$C$19,1)=COLUMN(H:H),INDEX($D$2:$D$9,MATCH($G31,$C$12:$C$19,1)),0)</f>
        <v>0</v>
      </c>
      <c r="P31" s="21">
        <f t="shared" ref="P31:P81" si="1">$E$2</f>
        <v>4.4000000000000004</v>
      </c>
      <c r="Q31" s="11">
        <v>2.9</v>
      </c>
    </row>
    <row r="32" spans="1:17" x14ac:dyDescent="0.3">
      <c r="G32" s="5">
        <v>31</v>
      </c>
      <c r="H32" s="5" cm="1">
        <f t="array" ref="H32">IF(MATCH($G32,$C$12:$C$19,1)=COLUMN(A:A),INDEX($D$2:$D$9,MATCH($G32,$C$12:$C$19,1)),0)</f>
        <v>0</v>
      </c>
      <c r="I32" s="5" cm="1">
        <f t="array" ref="I32">IF(MATCH($G32,$C$12:$C$19,1)=COLUMN(B:B),INDEX($D$2:$D$9,MATCH($G32,$C$12:$C$19,1)),0)</f>
        <v>0</v>
      </c>
      <c r="J32" s="5" cm="1">
        <f t="array" ref="J32">IF(MATCH($G32,$C$12:$C$19,1)=COLUMN(C:C),INDEX($D$2:$D$9,MATCH($G32,$C$12:$C$19,1)),0)</f>
        <v>0</v>
      </c>
      <c r="K32" s="5" cm="1">
        <f t="array" ref="K32">IF(MATCH($G32,$C$12:$C$19,1)=COLUMN(D:D),INDEX($D$2:$D$9,MATCH($G32,$C$12:$C$19,1)),0)</f>
        <v>0</v>
      </c>
      <c r="L32" s="21" cm="1">
        <f t="array" ref="L32">IF(MATCH($G32,$C$12:$C$19,1)=COLUMN(E:E),INDEX($D$2:$D$9,MATCH($G32,$C$12:$C$19,1)),0)</f>
        <v>3.4</v>
      </c>
      <c r="M32" s="5" cm="1">
        <f t="array" ref="M32">IF(MATCH($G32,$C$12:$C$19,1)=COLUMN(F:F),INDEX($D$2:$D$9,MATCH($G32,$C$12:$C$19,1)),0)</f>
        <v>0</v>
      </c>
      <c r="N32" s="5" cm="1">
        <f t="array" ref="N32">IF(MATCH($G32,$C$12:$C$19,1)=COLUMN(G:G),INDEX($D$2:$D$9,MATCH($G32,$C$12:$C$19,1)),0)</f>
        <v>0</v>
      </c>
      <c r="O32" s="5" cm="1">
        <f t="array" ref="O32">IF(MATCH($G32,$C$12:$C$19,1)=COLUMN(H:H),INDEX($D$2:$D$9,MATCH($G32,$C$12:$C$19,1)),0)</f>
        <v>0</v>
      </c>
      <c r="P32" s="21">
        <f t="shared" si="1"/>
        <v>4.4000000000000004</v>
      </c>
      <c r="Q32" s="11">
        <v>3</v>
      </c>
    </row>
    <row r="33" spans="7:17" x14ac:dyDescent="0.3">
      <c r="G33" s="5">
        <v>32</v>
      </c>
      <c r="H33" s="5" cm="1">
        <f t="array" ref="H33">IF(MATCH($G33,$C$12:$C$19,1)=COLUMN(A:A),INDEX($D$2:$D$9,MATCH($G33,$C$12:$C$19,1)),0)</f>
        <v>0</v>
      </c>
      <c r="I33" s="5" cm="1">
        <f t="array" ref="I33">IF(MATCH($G33,$C$12:$C$19,1)=COLUMN(B:B),INDEX($D$2:$D$9,MATCH($G33,$C$12:$C$19,1)),0)</f>
        <v>0</v>
      </c>
      <c r="J33" s="5" cm="1">
        <f t="array" ref="J33">IF(MATCH($G33,$C$12:$C$19,1)=COLUMN(C:C),INDEX($D$2:$D$9,MATCH($G33,$C$12:$C$19,1)),0)</f>
        <v>0</v>
      </c>
      <c r="K33" s="5" cm="1">
        <f t="array" ref="K33">IF(MATCH($G33,$C$12:$C$19,1)=COLUMN(D:D),INDEX($D$2:$D$9,MATCH($G33,$C$12:$C$19,1)),0)</f>
        <v>0</v>
      </c>
      <c r="L33" s="21" cm="1">
        <f t="array" ref="L33">IF(MATCH($G33,$C$12:$C$19,1)=COLUMN(E:E),INDEX($D$2:$D$9,MATCH($G33,$C$12:$C$19,1)),0)</f>
        <v>3.4</v>
      </c>
      <c r="M33" s="5" cm="1">
        <f t="array" ref="M33">IF(MATCH($G33,$C$12:$C$19,1)=COLUMN(F:F),INDEX($D$2:$D$9,MATCH($G33,$C$12:$C$19,1)),0)</f>
        <v>0</v>
      </c>
      <c r="N33" s="5" cm="1">
        <f t="array" ref="N33">IF(MATCH($G33,$C$12:$C$19,1)=COLUMN(G:G),INDEX($D$2:$D$9,MATCH($G33,$C$12:$C$19,1)),0)</f>
        <v>0</v>
      </c>
      <c r="O33" s="5" cm="1">
        <f t="array" ref="O33">IF(MATCH($G33,$C$12:$C$19,1)=COLUMN(H:H),INDEX($D$2:$D$9,MATCH($G33,$C$12:$C$19,1)),0)</f>
        <v>0</v>
      </c>
      <c r="P33" s="21">
        <f t="shared" si="1"/>
        <v>4.4000000000000004</v>
      </c>
      <c r="Q33" s="11">
        <v>3.1</v>
      </c>
    </row>
    <row r="34" spans="7:17" x14ac:dyDescent="0.3">
      <c r="G34" s="5">
        <v>33</v>
      </c>
      <c r="H34" s="5" cm="1">
        <f t="array" ref="H34">IF(MATCH($G34,$C$12:$C$19,1)=COLUMN(A:A),INDEX($D$2:$D$9,MATCH($G34,$C$12:$C$19,1)),0)</f>
        <v>0</v>
      </c>
      <c r="I34" s="5" cm="1">
        <f t="array" ref="I34">IF(MATCH($G34,$C$12:$C$19,1)=COLUMN(B:B),INDEX($D$2:$D$9,MATCH($G34,$C$12:$C$19,1)),0)</f>
        <v>0</v>
      </c>
      <c r="J34" s="5" cm="1">
        <f t="array" ref="J34">IF(MATCH($G34,$C$12:$C$19,1)=COLUMN(C:C),INDEX($D$2:$D$9,MATCH($G34,$C$12:$C$19,1)),0)</f>
        <v>0</v>
      </c>
      <c r="K34" s="5" cm="1">
        <f t="array" ref="K34">IF(MATCH($G34,$C$12:$C$19,1)=COLUMN(D:D),INDEX($D$2:$D$9,MATCH($G34,$C$12:$C$19,1)),0)</f>
        <v>0</v>
      </c>
      <c r="L34" s="21" cm="1">
        <f t="array" ref="L34">IF(MATCH($G34,$C$12:$C$19,1)=COLUMN(E:E),INDEX($D$2:$D$9,MATCH($G34,$C$12:$C$19,1)),0)</f>
        <v>3.4</v>
      </c>
      <c r="M34" s="5" cm="1">
        <f t="array" ref="M34">IF(MATCH($G34,$C$12:$C$19,1)=COLUMN(F:F),INDEX($D$2:$D$9,MATCH($G34,$C$12:$C$19,1)),0)</f>
        <v>0</v>
      </c>
      <c r="N34" s="5" cm="1">
        <f t="array" ref="N34">IF(MATCH($G34,$C$12:$C$19,1)=COLUMN(G:G),INDEX($D$2:$D$9,MATCH($G34,$C$12:$C$19,1)),0)</f>
        <v>0</v>
      </c>
      <c r="O34" s="5" cm="1">
        <f t="array" ref="O34">IF(MATCH($G34,$C$12:$C$19,1)=COLUMN(H:H),INDEX($D$2:$D$9,MATCH($G34,$C$12:$C$19,1)),0)</f>
        <v>0</v>
      </c>
      <c r="P34" s="21">
        <f t="shared" si="1"/>
        <v>4.4000000000000004</v>
      </c>
      <c r="Q34" s="11">
        <v>3.2</v>
      </c>
    </row>
    <row r="35" spans="7:17" x14ac:dyDescent="0.3">
      <c r="G35" s="5">
        <v>34</v>
      </c>
      <c r="H35" s="5" cm="1">
        <f t="array" ref="H35">IF(MATCH($G35,$C$12:$C$19,1)=COLUMN(A:A),INDEX($D$2:$D$9,MATCH($G35,$C$12:$C$19,1)),0)</f>
        <v>0</v>
      </c>
      <c r="I35" s="5" cm="1">
        <f t="array" ref="I35">IF(MATCH($G35,$C$12:$C$19,1)=COLUMN(B:B),INDEX($D$2:$D$9,MATCH($G35,$C$12:$C$19,1)),0)</f>
        <v>0</v>
      </c>
      <c r="J35" s="5" cm="1">
        <f t="array" ref="J35">IF(MATCH($G35,$C$12:$C$19,1)=COLUMN(C:C),INDEX($D$2:$D$9,MATCH($G35,$C$12:$C$19,1)),0)</f>
        <v>0</v>
      </c>
      <c r="K35" s="5" cm="1">
        <f t="array" ref="K35">IF(MATCH($G35,$C$12:$C$19,1)=COLUMN(D:D),INDEX($D$2:$D$9,MATCH($G35,$C$12:$C$19,1)),0)</f>
        <v>0</v>
      </c>
      <c r="L35" s="21" cm="1">
        <f t="array" ref="L35">IF(MATCH($G35,$C$12:$C$19,1)=COLUMN(E:E),INDEX($D$2:$D$9,MATCH($G35,$C$12:$C$19,1)),0)</f>
        <v>3.4</v>
      </c>
      <c r="M35" s="5" cm="1">
        <f t="array" ref="M35">IF(MATCH($G35,$C$12:$C$19,1)=COLUMN(F:F),INDEX($D$2:$D$9,MATCH($G35,$C$12:$C$19,1)),0)</f>
        <v>0</v>
      </c>
      <c r="N35" s="5" cm="1">
        <f t="array" ref="N35">IF(MATCH($G35,$C$12:$C$19,1)=COLUMN(G:G),INDEX($D$2:$D$9,MATCH($G35,$C$12:$C$19,1)),0)</f>
        <v>0</v>
      </c>
      <c r="O35" s="5" cm="1">
        <f t="array" ref="O35">IF(MATCH($G35,$C$12:$C$19,1)=COLUMN(H:H),INDEX($D$2:$D$9,MATCH($G35,$C$12:$C$19,1)),0)</f>
        <v>0</v>
      </c>
      <c r="P35" s="21">
        <f t="shared" si="1"/>
        <v>4.4000000000000004</v>
      </c>
      <c r="Q35" s="11">
        <v>3.3</v>
      </c>
    </row>
    <row r="36" spans="7:17" x14ac:dyDescent="0.3">
      <c r="G36" s="5">
        <v>35</v>
      </c>
      <c r="H36" s="5" cm="1">
        <f t="array" ref="H36">IF(MATCH($G36,$C$12:$C$19,1)=COLUMN(A:A),INDEX($D$2:$D$9,MATCH($G36,$C$12:$C$19,1)),0)</f>
        <v>0</v>
      </c>
      <c r="I36" s="5" cm="1">
        <f t="array" ref="I36">IF(MATCH($G36,$C$12:$C$19,1)=COLUMN(B:B),INDEX($D$2:$D$9,MATCH($G36,$C$12:$C$19,1)),0)</f>
        <v>0</v>
      </c>
      <c r="J36" s="5" cm="1">
        <f t="array" ref="J36">IF(MATCH($G36,$C$12:$C$19,1)=COLUMN(C:C),INDEX($D$2:$D$9,MATCH($G36,$C$12:$C$19,1)),0)</f>
        <v>0</v>
      </c>
      <c r="K36" s="5" cm="1">
        <f t="array" ref="K36">IF(MATCH($G36,$C$12:$C$19,1)=COLUMN(D:D),INDEX($D$2:$D$9,MATCH($G36,$C$12:$C$19,1)),0)</f>
        <v>0</v>
      </c>
      <c r="L36" s="21" cm="1">
        <f t="array" ref="L36">IF(MATCH($G36,$C$12:$C$19,1)=COLUMN(E:E),INDEX($D$2:$D$9,MATCH($G36,$C$12:$C$19,1)),0)</f>
        <v>3.4</v>
      </c>
      <c r="M36" s="5" cm="1">
        <f t="array" ref="M36">IF(MATCH($G36,$C$12:$C$19,1)=COLUMN(F:F),INDEX($D$2:$D$9,MATCH($G36,$C$12:$C$19,1)),0)</f>
        <v>0</v>
      </c>
      <c r="N36" s="5" cm="1">
        <f t="array" ref="N36">IF(MATCH($G36,$C$12:$C$19,1)=COLUMN(G:G),INDEX($D$2:$D$9,MATCH($G36,$C$12:$C$19,1)),0)</f>
        <v>0</v>
      </c>
      <c r="O36" s="5" cm="1">
        <f t="array" ref="O36">IF(MATCH($G36,$C$12:$C$19,1)=COLUMN(H:H),INDEX($D$2:$D$9,MATCH($G36,$C$12:$C$19,1)),0)</f>
        <v>0</v>
      </c>
      <c r="P36" s="21">
        <f t="shared" si="1"/>
        <v>4.4000000000000004</v>
      </c>
      <c r="Q36" s="11">
        <v>3.4</v>
      </c>
    </row>
    <row r="37" spans="7:17" x14ac:dyDescent="0.3">
      <c r="G37" s="5">
        <v>36</v>
      </c>
      <c r="H37" s="5" cm="1">
        <f t="array" ref="H37">IF(MATCH($G37,$C$12:$C$19,1)=COLUMN(A:A),INDEX($D$2:$D$9,MATCH($G37,$C$12:$C$19,1)),0)</f>
        <v>0</v>
      </c>
      <c r="I37" s="5" cm="1">
        <f t="array" ref="I37">IF(MATCH($G37,$C$12:$C$19,1)=COLUMN(B:B),INDEX($D$2:$D$9,MATCH($G37,$C$12:$C$19,1)),0)</f>
        <v>0</v>
      </c>
      <c r="J37" s="5" cm="1">
        <f t="array" ref="J37">IF(MATCH($G37,$C$12:$C$19,1)=COLUMN(C:C),INDEX($D$2:$D$9,MATCH($G37,$C$12:$C$19,1)),0)</f>
        <v>0</v>
      </c>
      <c r="K37" s="5" cm="1">
        <f t="array" ref="K37">IF(MATCH($G37,$C$12:$C$19,1)=COLUMN(D:D),INDEX($D$2:$D$9,MATCH($G37,$C$12:$C$19,1)),0)</f>
        <v>0</v>
      </c>
      <c r="L37" s="5" cm="1">
        <f t="array" ref="L37">IF(MATCH($G37,$C$12:$C$19,1)=COLUMN(E:E),INDEX($D$2:$D$9,MATCH($G37,$C$12:$C$19,1)),0)</f>
        <v>0</v>
      </c>
      <c r="M37" s="21" cm="1">
        <f t="array" ref="M37">IF(MATCH($G37,$C$12:$C$19,1)=COLUMN(F:F),INDEX($D$2:$D$9,MATCH($G37,$C$12:$C$19,1)),0)</f>
        <v>3.4</v>
      </c>
      <c r="N37" s="5" cm="1">
        <f t="array" ref="N37">IF(MATCH($G37,$C$12:$C$19,1)=COLUMN(G:G),INDEX($D$2:$D$9,MATCH($G37,$C$12:$C$19,1)),0)</f>
        <v>0</v>
      </c>
      <c r="O37" s="5" cm="1">
        <f t="array" ref="O37">IF(MATCH($G37,$C$12:$C$19,1)=COLUMN(H:H),INDEX($D$2:$D$9,MATCH($G37,$C$12:$C$19,1)),0)</f>
        <v>0</v>
      </c>
      <c r="P37" s="21">
        <f t="shared" si="1"/>
        <v>4.4000000000000004</v>
      </c>
      <c r="Q37" s="11">
        <v>3.5</v>
      </c>
    </row>
    <row r="38" spans="7:17" x14ac:dyDescent="0.3">
      <c r="G38" s="5">
        <v>37</v>
      </c>
      <c r="H38" s="5" cm="1">
        <f t="array" ref="H38">IF(MATCH($G38,$C$12:$C$19,1)=COLUMN(A:A),INDEX($D$2:$D$9,MATCH($G38,$C$12:$C$19,1)),0)</f>
        <v>0</v>
      </c>
      <c r="I38" s="5" cm="1">
        <f t="array" ref="I38">IF(MATCH($G38,$C$12:$C$19,1)=COLUMN(B:B),INDEX($D$2:$D$9,MATCH($G38,$C$12:$C$19,1)),0)</f>
        <v>0</v>
      </c>
      <c r="J38" s="5" cm="1">
        <f t="array" ref="J38">IF(MATCH($G38,$C$12:$C$19,1)=COLUMN(C:C),INDEX($D$2:$D$9,MATCH($G38,$C$12:$C$19,1)),0)</f>
        <v>0</v>
      </c>
      <c r="K38" s="5" cm="1">
        <f t="array" ref="K38">IF(MATCH($G38,$C$12:$C$19,1)=COLUMN(D:D),INDEX($D$2:$D$9,MATCH($G38,$C$12:$C$19,1)),0)</f>
        <v>0</v>
      </c>
      <c r="L38" s="5" cm="1">
        <f t="array" ref="L38">IF(MATCH($G38,$C$12:$C$19,1)=COLUMN(E:E),INDEX($D$2:$D$9,MATCH($G38,$C$12:$C$19,1)),0)</f>
        <v>0</v>
      </c>
      <c r="M38" s="21" cm="1">
        <f t="array" ref="M38">IF(MATCH($G38,$C$12:$C$19,1)=COLUMN(F:F),INDEX($D$2:$D$9,MATCH($G38,$C$12:$C$19,1)),0)</f>
        <v>3.4</v>
      </c>
      <c r="N38" s="5" cm="1">
        <f t="array" ref="N38">IF(MATCH($G38,$C$12:$C$19,1)=COLUMN(G:G),INDEX($D$2:$D$9,MATCH($G38,$C$12:$C$19,1)),0)</f>
        <v>0</v>
      </c>
      <c r="O38" s="5" cm="1">
        <f t="array" ref="O38">IF(MATCH($G38,$C$12:$C$19,1)=COLUMN(H:H),INDEX($D$2:$D$9,MATCH($G38,$C$12:$C$19,1)),0)</f>
        <v>0</v>
      </c>
      <c r="P38" s="21">
        <f t="shared" si="1"/>
        <v>4.4000000000000004</v>
      </c>
      <c r="Q38" s="11">
        <v>3.6</v>
      </c>
    </row>
    <row r="39" spans="7:17" x14ac:dyDescent="0.3">
      <c r="G39" s="5">
        <v>38</v>
      </c>
      <c r="H39" s="5" cm="1">
        <f t="array" ref="H39">IF(MATCH($G39,$C$12:$C$19,1)=COLUMN(A:A),INDEX($D$2:$D$9,MATCH($G39,$C$12:$C$19,1)),0)</f>
        <v>0</v>
      </c>
      <c r="I39" s="5" cm="1">
        <f t="array" ref="I39">IF(MATCH($G39,$C$12:$C$19,1)=COLUMN(B:B),INDEX($D$2:$D$9,MATCH($G39,$C$12:$C$19,1)),0)</f>
        <v>0</v>
      </c>
      <c r="J39" s="5" cm="1">
        <f t="array" ref="J39">IF(MATCH($G39,$C$12:$C$19,1)=COLUMN(C:C),INDEX($D$2:$D$9,MATCH($G39,$C$12:$C$19,1)),0)</f>
        <v>0</v>
      </c>
      <c r="K39" s="5" cm="1">
        <f t="array" ref="K39">IF(MATCH($G39,$C$12:$C$19,1)=COLUMN(D:D),INDEX($D$2:$D$9,MATCH($G39,$C$12:$C$19,1)),0)</f>
        <v>0</v>
      </c>
      <c r="L39" s="5" cm="1">
        <f t="array" ref="L39">IF(MATCH($G39,$C$12:$C$19,1)=COLUMN(E:E),INDEX($D$2:$D$9,MATCH($G39,$C$12:$C$19,1)),0)</f>
        <v>0</v>
      </c>
      <c r="M39" s="21" cm="1">
        <f t="array" ref="M39">IF(MATCH($G39,$C$12:$C$19,1)=COLUMN(F:F),INDEX($D$2:$D$9,MATCH($G39,$C$12:$C$19,1)),0)</f>
        <v>3.4</v>
      </c>
      <c r="N39" s="5" cm="1">
        <f t="array" ref="N39">IF(MATCH($G39,$C$12:$C$19,1)=COLUMN(G:G),INDEX($D$2:$D$9,MATCH($G39,$C$12:$C$19,1)),0)</f>
        <v>0</v>
      </c>
      <c r="O39" s="5" cm="1">
        <f t="array" ref="O39">IF(MATCH($G39,$C$12:$C$19,1)=COLUMN(H:H),INDEX($D$2:$D$9,MATCH($G39,$C$12:$C$19,1)),0)</f>
        <v>0</v>
      </c>
      <c r="P39" s="21">
        <f t="shared" si="1"/>
        <v>4.4000000000000004</v>
      </c>
      <c r="Q39" s="11">
        <v>3.7</v>
      </c>
    </row>
    <row r="40" spans="7:17" x14ac:dyDescent="0.3">
      <c r="G40" s="5">
        <v>39</v>
      </c>
      <c r="H40" s="5" cm="1">
        <f t="array" ref="H40">IF(MATCH($G40,$C$12:$C$19,1)=COLUMN(A:A),INDEX($D$2:$D$9,MATCH($G40,$C$12:$C$19,1)),0)</f>
        <v>0</v>
      </c>
      <c r="I40" s="5" cm="1">
        <f t="array" ref="I40">IF(MATCH($G40,$C$12:$C$19,1)=COLUMN(B:B),INDEX($D$2:$D$9,MATCH($G40,$C$12:$C$19,1)),0)</f>
        <v>0</v>
      </c>
      <c r="J40" s="5" cm="1">
        <f t="array" ref="J40">IF(MATCH($G40,$C$12:$C$19,1)=COLUMN(C:C),INDEX($D$2:$D$9,MATCH($G40,$C$12:$C$19,1)),0)</f>
        <v>0</v>
      </c>
      <c r="K40" s="5" cm="1">
        <f t="array" ref="K40">IF(MATCH($G40,$C$12:$C$19,1)=COLUMN(D:D),INDEX($D$2:$D$9,MATCH($G40,$C$12:$C$19,1)),0)</f>
        <v>0</v>
      </c>
      <c r="L40" s="5" cm="1">
        <f t="array" ref="L40">IF(MATCH($G40,$C$12:$C$19,1)=COLUMN(E:E),INDEX($D$2:$D$9,MATCH($G40,$C$12:$C$19,1)),0)</f>
        <v>0</v>
      </c>
      <c r="M40" s="21" cm="1">
        <f t="array" ref="M40">IF(MATCH($G40,$C$12:$C$19,1)=COLUMN(F:F),INDEX($D$2:$D$9,MATCH($G40,$C$12:$C$19,1)),0)</f>
        <v>3.4</v>
      </c>
      <c r="N40" s="5" cm="1">
        <f t="array" ref="N40">IF(MATCH($G40,$C$12:$C$19,1)=COLUMN(G:G),INDEX($D$2:$D$9,MATCH($G40,$C$12:$C$19,1)),0)</f>
        <v>0</v>
      </c>
      <c r="O40" s="5" cm="1">
        <f t="array" ref="O40">IF(MATCH($G40,$C$12:$C$19,1)=COLUMN(H:H),INDEX($D$2:$D$9,MATCH($G40,$C$12:$C$19,1)),0)</f>
        <v>0</v>
      </c>
      <c r="P40" s="21">
        <f t="shared" si="1"/>
        <v>4.4000000000000004</v>
      </c>
      <c r="Q40" s="11">
        <v>3.8</v>
      </c>
    </row>
    <row r="41" spans="7:17" x14ac:dyDescent="0.3">
      <c r="G41" s="5">
        <v>40</v>
      </c>
      <c r="H41" s="5" cm="1">
        <f t="array" ref="H41">IF(MATCH($G41,$C$12:$C$19,1)=COLUMN(A:A),INDEX($D$2:$D$9,MATCH($G41,$C$12:$C$19,1)),0)</f>
        <v>0</v>
      </c>
      <c r="I41" s="5" cm="1">
        <f t="array" ref="I41">IF(MATCH($G41,$C$12:$C$19,1)=COLUMN(B:B),INDEX($D$2:$D$9,MATCH($G41,$C$12:$C$19,1)),0)</f>
        <v>0</v>
      </c>
      <c r="J41" s="5" cm="1">
        <f t="array" ref="J41">IF(MATCH($G41,$C$12:$C$19,1)=COLUMN(C:C),INDEX($D$2:$D$9,MATCH($G41,$C$12:$C$19,1)),0)</f>
        <v>0</v>
      </c>
      <c r="K41" s="5" cm="1">
        <f t="array" ref="K41">IF(MATCH($G41,$C$12:$C$19,1)=COLUMN(D:D),INDEX($D$2:$D$9,MATCH($G41,$C$12:$C$19,1)),0)</f>
        <v>0</v>
      </c>
      <c r="L41" s="5" cm="1">
        <f t="array" ref="L41">IF(MATCH($G41,$C$12:$C$19,1)=COLUMN(E:E),INDEX($D$2:$D$9,MATCH($G41,$C$12:$C$19,1)),0)</f>
        <v>0</v>
      </c>
      <c r="M41" s="21" cm="1">
        <f t="array" ref="M41">IF(MATCH($G41,$C$12:$C$19,1)=COLUMN(F:F),INDEX($D$2:$D$9,MATCH($G41,$C$12:$C$19,1)),0)</f>
        <v>3.4</v>
      </c>
      <c r="N41" s="5" cm="1">
        <f t="array" ref="N41">IF(MATCH($G41,$C$12:$C$19,1)=COLUMN(G:G),INDEX($D$2:$D$9,MATCH($G41,$C$12:$C$19,1)),0)</f>
        <v>0</v>
      </c>
      <c r="O41" s="5" cm="1">
        <f t="array" ref="O41">IF(MATCH($G41,$C$12:$C$19,1)=COLUMN(H:H),INDEX($D$2:$D$9,MATCH($G41,$C$12:$C$19,1)),0)</f>
        <v>0</v>
      </c>
      <c r="P41" s="21">
        <f t="shared" si="1"/>
        <v>4.4000000000000004</v>
      </c>
      <c r="Q41" s="11">
        <v>3.9</v>
      </c>
    </row>
    <row r="42" spans="7:17" x14ac:dyDescent="0.3">
      <c r="G42" s="5">
        <v>41</v>
      </c>
      <c r="H42" s="5" cm="1">
        <f t="array" ref="H42">IF(MATCH($G42,$C$12:$C$19,1)=COLUMN(A:A),INDEX($D$2:$D$9,MATCH($G42,$C$12:$C$19,1)),0)</f>
        <v>0</v>
      </c>
      <c r="I42" s="5" cm="1">
        <f t="array" ref="I42">IF(MATCH($G42,$C$12:$C$19,1)=COLUMN(B:B),INDEX($D$2:$D$9,MATCH($G42,$C$12:$C$19,1)),0)</f>
        <v>0</v>
      </c>
      <c r="J42" s="5" cm="1">
        <f t="array" ref="J42">IF(MATCH($G42,$C$12:$C$19,1)=COLUMN(C:C),INDEX($D$2:$D$9,MATCH($G42,$C$12:$C$19,1)),0)</f>
        <v>0</v>
      </c>
      <c r="K42" s="5" cm="1">
        <f t="array" ref="K42">IF(MATCH($G42,$C$12:$C$19,1)=COLUMN(D:D),INDEX($D$2:$D$9,MATCH($G42,$C$12:$C$19,1)),0)</f>
        <v>0</v>
      </c>
      <c r="L42" s="5" cm="1">
        <f t="array" ref="L42">IF(MATCH($G42,$C$12:$C$19,1)=COLUMN(E:E),INDEX($D$2:$D$9,MATCH($G42,$C$12:$C$19,1)),0)</f>
        <v>0</v>
      </c>
      <c r="M42" s="21" cm="1">
        <f t="array" ref="M42">IF(MATCH($G42,$C$12:$C$19,1)=COLUMN(F:F),INDEX($D$2:$D$9,MATCH($G42,$C$12:$C$19,1)),0)</f>
        <v>3.4</v>
      </c>
      <c r="N42" s="5" cm="1">
        <f t="array" ref="N42">IF(MATCH($G42,$C$12:$C$19,1)=COLUMN(G:G),INDEX($D$2:$D$9,MATCH($G42,$C$12:$C$19,1)),0)</f>
        <v>0</v>
      </c>
      <c r="O42" s="5" cm="1">
        <f t="array" ref="O42">IF(MATCH($G42,$C$12:$C$19,1)=COLUMN(H:H),INDEX($D$2:$D$9,MATCH($G42,$C$12:$C$19,1)),0)</f>
        <v>0</v>
      </c>
      <c r="P42" s="21">
        <f t="shared" si="1"/>
        <v>4.4000000000000004</v>
      </c>
      <c r="Q42" s="11">
        <v>4</v>
      </c>
    </row>
    <row r="43" spans="7:17" x14ac:dyDescent="0.3">
      <c r="G43" s="5">
        <v>42</v>
      </c>
      <c r="H43" s="5" cm="1">
        <f t="array" ref="H43">IF(MATCH($G43,$C$12:$C$19,1)=COLUMN(A:A),INDEX($D$2:$D$9,MATCH($G43,$C$12:$C$19,1)),0)</f>
        <v>0</v>
      </c>
      <c r="I43" s="5" cm="1">
        <f t="array" ref="I43">IF(MATCH($G43,$C$12:$C$19,1)=COLUMN(B:B),INDEX($D$2:$D$9,MATCH($G43,$C$12:$C$19,1)),0)</f>
        <v>0</v>
      </c>
      <c r="J43" s="5" cm="1">
        <f t="array" ref="J43">IF(MATCH($G43,$C$12:$C$19,1)=COLUMN(C:C),INDEX($D$2:$D$9,MATCH($G43,$C$12:$C$19,1)),0)</f>
        <v>0</v>
      </c>
      <c r="K43" s="5" cm="1">
        <f t="array" ref="K43">IF(MATCH($G43,$C$12:$C$19,1)=COLUMN(D:D),INDEX($D$2:$D$9,MATCH($G43,$C$12:$C$19,1)),0)</f>
        <v>0</v>
      </c>
      <c r="L43" s="5" cm="1">
        <f t="array" ref="L43">IF(MATCH($G43,$C$12:$C$19,1)=COLUMN(E:E),INDEX($D$2:$D$9,MATCH($G43,$C$12:$C$19,1)),0)</f>
        <v>0</v>
      </c>
      <c r="M43" s="21" cm="1">
        <f t="array" ref="M43">IF(MATCH($G43,$C$12:$C$19,1)=COLUMN(F:F),INDEX($D$2:$D$9,MATCH($G43,$C$12:$C$19,1)),0)</f>
        <v>3.4</v>
      </c>
      <c r="N43" s="5" cm="1">
        <f t="array" ref="N43">IF(MATCH($G43,$C$12:$C$19,1)=COLUMN(G:G),INDEX($D$2:$D$9,MATCH($G43,$C$12:$C$19,1)),0)</f>
        <v>0</v>
      </c>
      <c r="O43" s="5" cm="1">
        <f t="array" ref="O43">IF(MATCH($G43,$C$12:$C$19,1)=COLUMN(H:H),INDEX($D$2:$D$9,MATCH($G43,$C$12:$C$19,1)),0)</f>
        <v>0</v>
      </c>
      <c r="P43" s="21">
        <f t="shared" si="1"/>
        <v>4.4000000000000004</v>
      </c>
      <c r="Q43" s="11">
        <v>4.0999999999999996</v>
      </c>
    </row>
    <row r="44" spans="7:17" x14ac:dyDescent="0.3">
      <c r="G44" s="5">
        <v>43</v>
      </c>
      <c r="H44" s="5" cm="1">
        <f t="array" ref="H44">IF(MATCH($G44,$C$12:$C$19,1)=COLUMN(A:A),INDEX($D$2:$D$9,MATCH($G44,$C$12:$C$19,1)),0)</f>
        <v>0</v>
      </c>
      <c r="I44" s="5" cm="1">
        <f t="array" ref="I44">IF(MATCH($G44,$C$12:$C$19,1)=COLUMN(B:B),INDEX($D$2:$D$9,MATCH($G44,$C$12:$C$19,1)),0)</f>
        <v>0</v>
      </c>
      <c r="J44" s="5" cm="1">
        <f t="array" ref="J44">IF(MATCH($G44,$C$12:$C$19,1)=COLUMN(C:C),INDEX($D$2:$D$9,MATCH($G44,$C$12:$C$19,1)),0)</f>
        <v>0</v>
      </c>
      <c r="K44" s="5" cm="1">
        <f t="array" ref="K44">IF(MATCH($G44,$C$12:$C$19,1)=COLUMN(D:D),INDEX($D$2:$D$9,MATCH($G44,$C$12:$C$19,1)),0)</f>
        <v>0</v>
      </c>
      <c r="L44" s="5" cm="1">
        <f t="array" ref="L44">IF(MATCH($G44,$C$12:$C$19,1)=COLUMN(E:E),INDEX($D$2:$D$9,MATCH($G44,$C$12:$C$19,1)),0)</f>
        <v>0</v>
      </c>
      <c r="M44" s="21" cm="1">
        <f t="array" ref="M44">IF(MATCH($G44,$C$12:$C$19,1)=COLUMN(F:F),INDEX($D$2:$D$9,MATCH($G44,$C$12:$C$19,1)),0)</f>
        <v>3.4</v>
      </c>
      <c r="N44" s="5" cm="1">
        <f t="array" ref="N44">IF(MATCH($G44,$C$12:$C$19,1)=COLUMN(G:G),INDEX($D$2:$D$9,MATCH($G44,$C$12:$C$19,1)),0)</f>
        <v>0</v>
      </c>
      <c r="O44" s="5" cm="1">
        <f t="array" ref="O44">IF(MATCH($G44,$C$12:$C$19,1)=COLUMN(H:H),INDEX($D$2:$D$9,MATCH($G44,$C$12:$C$19,1)),0)</f>
        <v>0</v>
      </c>
      <c r="P44" s="21">
        <f t="shared" si="1"/>
        <v>4.4000000000000004</v>
      </c>
      <c r="Q44" s="11">
        <v>4.2</v>
      </c>
    </row>
    <row r="45" spans="7:17" x14ac:dyDescent="0.3">
      <c r="G45" s="5">
        <v>44</v>
      </c>
      <c r="H45" s="5" cm="1">
        <f t="array" ref="H45">IF(MATCH($G45,$C$12:$C$19,1)=COLUMN(A:A),INDEX($D$2:$D$9,MATCH($G45,$C$12:$C$19,1)),0)</f>
        <v>0</v>
      </c>
      <c r="I45" s="5" cm="1">
        <f t="array" ref="I45">IF(MATCH($G45,$C$12:$C$19,1)=COLUMN(B:B),INDEX($D$2:$D$9,MATCH($G45,$C$12:$C$19,1)),0)</f>
        <v>0</v>
      </c>
      <c r="J45" s="5" cm="1">
        <f t="array" ref="J45">IF(MATCH($G45,$C$12:$C$19,1)=COLUMN(C:C),INDEX($D$2:$D$9,MATCH($G45,$C$12:$C$19,1)),0)</f>
        <v>0</v>
      </c>
      <c r="K45" s="5" cm="1">
        <f t="array" ref="K45">IF(MATCH($G45,$C$12:$C$19,1)=COLUMN(D:D),INDEX($D$2:$D$9,MATCH($G45,$C$12:$C$19,1)),0)</f>
        <v>0</v>
      </c>
      <c r="L45" s="5" cm="1">
        <f t="array" ref="L45">IF(MATCH($G45,$C$12:$C$19,1)=COLUMN(E:E),INDEX($D$2:$D$9,MATCH($G45,$C$12:$C$19,1)),0)</f>
        <v>0</v>
      </c>
      <c r="M45" s="21" cm="1">
        <f t="array" ref="M45">IF(MATCH($G45,$C$12:$C$19,1)=COLUMN(F:F),INDEX($D$2:$D$9,MATCH($G45,$C$12:$C$19,1)),0)</f>
        <v>3.4</v>
      </c>
      <c r="N45" s="5" cm="1">
        <f t="array" ref="N45">IF(MATCH($G45,$C$12:$C$19,1)=COLUMN(G:G),INDEX($D$2:$D$9,MATCH($G45,$C$12:$C$19,1)),0)</f>
        <v>0</v>
      </c>
      <c r="O45" s="5" cm="1">
        <f t="array" ref="O45">IF(MATCH($G45,$C$12:$C$19,1)=COLUMN(H:H),INDEX($D$2:$D$9,MATCH($G45,$C$12:$C$19,1)),0)</f>
        <v>0</v>
      </c>
      <c r="P45" s="21">
        <f t="shared" si="1"/>
        <v>4.4000000000000004</v>
      </c>
      <c r="Q45" s="11">
        <v>4.3</v>
      </c>
    </row>
    <row r="46" spans="7:17" x14ac:dyDescent="0.3">
      <c r="G46" s="5">
        <v>45</v>
      </c>
      <c r="H46" s="5" cm="1">
        <f t="array" ref="H46">IF(MATCH($G46,$C$12:$C$19,1)=COLUMN(A:A),INDEX($D$2:$D$9,MATCH($G46,$C$12:$C$19,1)),0)</f>
        <v>0</v>
      </c>
      <c r="I46" s="5" cm="1">
        <f t="array" ref="I46">IF(MATCH($G46,$C$12:$C$19,1)=COLUMN(B:B),INDEX($D$2:$D$9,MATCH($G46,$C$12:$C$19,1)),0)</f>
        <v>0</v>
      </c>
      <c r="J46" s="5" cm="1">
        <f t="array" ref="J46">IF(MATCH($G46,$C$12:$C$19,1)=COLUMN(C:C),INDEX($D$2:$D$9,MATCH($G46,$C$12:$C$19,1)),0)</f>
        <v>0</v>
      </c>
      <c r="K46" s="5" cm="1">
        <f t="array" ref="K46">IF(MATCH($G46,$C$12:$C$19,1)=COLUMN(D:D),INDEX($D$2:$D$9,MATCH($G46,$C$12:$C$19,1)),0)</f>
        <v>0</v>
      </c>
      <c r="L46" s="5" cm="1">
        <f t="array" ref="L46">IF(MATCH($G46,$C$12:$C$19,1)=COLUMN(E:E),INDEX($D$2:$D$9,MATCH($G46,$C$12:$C$19,1)),0)</f>
        <v>0</v>
      </c>
      <c r="M46" s="21" cm="1">
        <f t="array" ref="M46">IF(MATCH($G46,$C$12:$C$19,1)=COLUMN(F:F),INDEX($D$2:$D$9,MATCH($G46,$C$12:$C$19,1)),0)</f>
        <v>3.4</v>
      </c>
      <c r="N46" s="5" cm="1">
        <f t="array" ref="N46">IF(MATCH($G46,$C$12:$C$19,1)=COLUMN(G:G),INDEX($D$2:$D$9,MATCH($G46,$C$12:$C$19,1)),0)</f>
        <v>0</v>
      </c>
      <c r="O46" s="5" cm="1">
        <f t="array" ref="O46">IF(MATCH($G46,$C$12:$C$19,1)=COLUMN(H:H),INDEX($D$2:$D$9,MATCH($G46,$C$12:$C$19,1)),0)</f>
        <v>0</v>
      </c>
      <c r="P46" s="21">
        <f t="shared" si="1"/>
        <v>4.4000000000000004</v>
      </c>
      <c r="Q46" s="11">
        <v>4.4000000000000004</v>
      </c>
    </row>
    <row r="47" spans="7:17" x14ac:dyDescent="0.3">
      <c r="G47" s="5">
        <v>46</v>
      </c>
      <c r="H47" s="5" cm="1">
        <f t="array" ref="H47">IF(MATCH($G47,$C$12:$C$19,1)=COLUMN(A:A),INDEX($D$2:$D$9,MATCH($G47,$C$12:$C$19,1)),0)</f>
        <v>0</v>
      </c>
      <c r="I47" s="5" cm="1">
        <f t="array" ref="I47">IF(MATCH($G47,$C$12:$C$19,1)=COLUMN(B:B),INDEX($D$2:$D$9,MATCH($G47,$C$12:$C$19,1)),0)</f>
        <v>0</v>
      </c>
      <c r="J47" s="5" cm="1">
        <f t="array" ref="J47">IF(MATCH($G47,$C$12:$C$19,1)=COLUMN(C:C),INDEX($D$2:$D$9,MATCH($G47,$C$12:$C$19,1)),0)</f>
        <v>0</v>
      </c>
      <c r="K47" s="5" cm="1">
        <f t="array" ref="K47">IF(MATCH($G47,$C$12:$C$19,1)=COLUMN(D:D),INDEX($D$2:$D$9,MATCH($G47,$C$12:$C$19,1)),0)</f>
        <v>0</v>
      </c>
      <c r="L47" s="5" cm="1">
        <f t="array" ref="L47">IF(MATCH($G47,$C$12:$C$19,1)=COLUMN(E:E),INDEX($D$2:$D$9,MATCH($G47,$C$12:$C$19,1)),0)</f>
        <v>0</v>
      </c>
      <c r="M47" s="21" cm="1">
        <f t="array" ref="M47">IF(MATCH($G47,$C$12:$C$19,1)=COLUMN(F:F),INDEX($D$2:$D$9,MATCH($G47,$C$12:$C$19,1)),0)</f>
        <v>3.4</v>
      </c>
      <c r="N47" s="5" cm="1">
        <f t="array" ref="N47">IF(MATCH($G47,$C$12:$C$19,1)=COLUMN(G:G),INDEX($D$2:$D$9,MATCH($G47,$C$12:$C$19,1)),0)</f>
        <v>0</v>
      </c>
      <c r="O47" s="5" cm="1">
        <f t="array" ref="O47">IF(MATCH($G47,$C$12:$C$19,1)=COLUMN(H:H),INDEX($D$2:$D$9,MATCH($G47,$C$12:$C$19,1)),0)</f>
        <v>0</v>
      </c>
      <c r="P47" s="21">
        <f t="shared" si="1"/>
        <v>4.4000000000000004</v>
      </c>
      <c r="Q47" s="11">
        <v>4.5</v>
      </c>
    </row>
    <row r="48" spans="7:17" x14ac:dyDescent="0.3">
      <c r="G48" s="5">
        <v>47</v>
      </c>
      <c r="H48" s="5" cm="1">
        <f t="array" ref="H48">IF(MATCH($G48,$C$12:$C$19,1)=COLUMN(A:A),INDEX($D$2:$D$9,MATCH($G48,$C$12:$C$19,1)),0)</f>
        <v>0</v>
      </c>
      <c r="I48" s="5" cm="1">
        <f t="array" ref="I48">IF(MATCH($G48,$C$12:$C$19,1)=COLUMN(B:B),INDEX($D$2:$D$9,MATCH($G48,$C$12:$C$19,1)),0)</f>
        <v>0</v>
      </c>
      <c r="J48" s="5" cm="1">
        <f t="array" ref="J48">IF(MATCH($G48,$C$12:$C$19,1)=COLUMN(C:C),INDEX($D$2:$D$9,MATCH($G48,$C$12:$C$19,1)),0)</f>
        <v>0</v>
      </c>
      <c r="K48" s="5" cm="1">
        <f t="array" ref="K48">IF(MATCH($G48,$C$12:$C$19,1)=COLUMN(D:D),INDEX($D$2:$D$9,MATCH($G48,$C$12:$C$19,1)),0)</f>
        <v>0</v>
      </c>
      <c r="L48" s="5" cm="1">
        <f t="array" ref="L48">IF(MATCH($G48,$C$12:$C$19,1)=COLUMN(E:E),INDEX($D$2:$D$9,MATCH($G48,$C$12:$C$19,1)),0)</f>
        <v>0</v>
      </c>
      <c r="M48" s="21" cm="1">
        <f t="array" ref="M48">IF(MATCH($G48,$C$12:$C$19,1)=COLUMN(F:F),INDEX($D$2:$D$9,MATCH($G48,$C$12:$C$19,1)),0)</f>
        <v>3.4</v>
      </c>
      <c r="N48" s="5" cm="1">
        <f t="array" ref="N48">IF(MATCH($G48,$C$12:$C$19,1)=COLUMN(G:G),INDEX($D$2:$D$9,MATCH($G48,$C$12:$C$19,1)),0)</f>
        <v>0</v>
      </c>
      <c r="O48" s="5" cm="1">
        <f t="array" ref="O48">IF(MATCH($G48,$C$12:$C$19,1)=COLUMN(H:H),INDEX($D$2:$D$9,MATCH($G48,$C$12:$C$19,1)),0)</f>
        <v>0</v>
      </c>
      <c r="P48" s="21">
        <f t="shared" si="1"/>
        <v>4.4000000000000004</v>
      </c>
      <c r="Q48" s="11">
        <v>4.5999999999999996</v>
      </c>
    </row>
    <row r="49" spans="7:17" x14ac:dyDescent="0.3">
      <c r="G49" s="5">
        <v>48</v>
      </c>
      <c r="H49" s="5" cm="1">
        <f t="array" ref="H49">IF(MATCH($G49,$C$12:$C$19,1)=COLUMN(A:A),INDEX($D$2:$D$9,MATCH($G49,$C$12:$C$19,1)),0)</f>
        <v>0</v>
      </c>
      <c r="I49" s="5" cm="1">
        <f t="array" ref="I49">IF(MATCH($G49,$C$12:$C$19,1)=COLUMN(B:B),INDEX($D$2:$D$9,MATCH($G49,$C$12:$C$19,1)),0)</f>
        <v>0</v>
      </c>
      <c r="J49" s="5" cm="1">
        <f t="array" ref="J49">IF(MATCH($G49,$C$12:$C$19,1)=COLUMN(C:C),INDEX($D$2:$D$9,MATCH($G49,$C$12:$C$19,1)),0)</f>
        <v>0</v>
      </c>
      <c r="K49" s="5" cm="1">
        <f t="array" ref="K49">IF(MATCH($G49,$C$12:$C$19,1)=COLUMN(D:D),INDEX($D$2:$D$9,MATCH($G49,$C$12:$C$19,1)),0)</f>
        <v>0</v>
      </c>
      <c r="L49" s="5" cm="1">
        <f t="array" ref="L49">IF(MATCH($G49,$C$12:$C$19,1)=COLUMN(E:E),INDEX($D$2:$D$9,MATCH($G49,$C$12:$C$19,1)),0)</f>
        <v>0</v>
      </c>
      <c r="M49" s="21" cm="1">
        <f t="array" ref="M49">IF(MATCH($G49,$C$12:$C$19,1)=COLUMN(F:F),INDEX($D$2:$D$9,MATCH($G49,$C$12:$C$19,1)),0)</f>
        <v>3.4</v>
      </c>
      <c r="N49" s="5" cm="1">
        <f t="array" ref="N49">IF(MATCH($G49,$C$12:$C$19,1)=COLUMN(G:G),INDEX($D$2:$D$9,MATCH($G49,$C$12:$C$19,1)),0)</f>
        <v>0</v>
      </c>
      <c r="O49" s="5" cm="1">
        <f t="array" ref="O49">IF(MATCH($G49,$C$12:$C$19,1)=COLUMN(H:H),INDEX($D$2:$D$9,MATCH($G49,$C$12:$C$19,1)),0)</f>
        <v>0</v>
      </c>
      <c r="P49" s="21">
        <f t="shared" si="1"/>
        <v>4.4000000000000004</v>
      </c>
      <c r="Q49" s="11">
        <v>4.7</v>
      </c>
    </row>
    <row r="50" spans="7:17" x14ac:dyDescent="0.3">
      <c r="G50" s="5">
        <v>49</v>
      </c>
      <c r="H50" s="5" cm="1">
        <f t="array" ref="H50">IF(MATCH($G50,$C$12:$C$19,1)=COLUMN(A:A),INDEX($D$2:$D$9,MATCH($G50,$C$12:$C$19,1)),0)</f>
        <v>0</v>
      </c>
      <c r="I50" s="5" cm="1">
        <f t="array" ref="I50">IF(MATCH($G50,$C$12:$C$19,1)=COLUMN(B:B),INDEX($D$2:$D$9,MATCH($G50,$C$12:$C$19,1)),0)</f>
        <v>0</v>
      </c>
      <c r="J50" s="5" cm="1">
        <f t="array" ref="J50">IF(MATCH($G50,$C$12:$C$19,1)=COLUMN(C:C),INDEX($D$2:$D$9,MATCH($G50,$C$12:$C$19,1)),0)</f>
        <v>0</v>
      </c>
      <c r="K50" s="5" cm="1">
        <f t="array" ref="K50">IF(MATCH($G50,$C$12:$C$19,1)=COLUMN(D:D),INDEX($D$2:$D$9,MATCH($G50,$C$12:$C$19,1)),0)</f>
        <v>0</v>
      </c>
      <c r="L50" s="5" cm="1">
        <f t="array" ref="L50">IF(MATCH($G50,$C$12:$C$19,1)=COLUMN(E:E),INDEX($D$2:$D$9,MATCH($G50,$C$12:$C$19,1)),0)</f>
        <v>0</v>
      </c>
      <c r="M50" s="21" cm="1">
        <f t="array" ref="M50">IF(MATCH($G50,$C$12:$C$19,1)=COLUMN(F:F),INDEX($D$2:$D$9,MATCH($G50,$C$12:$C$19,1)),0)</f>
        <v>3.4</v>
      </c>
      <c r="N50" s="5" cm="1">
        <f t="array" ref="N50">IF(MATCH($G50,$C$12:$C$19,1)=COLUMN(G:G),INDEX($D$2:$D$9,MATCH($G50,$C$12:$C$19,1)),0)</f>
        <v>0</v>
      </c>
      <c r="O50" s="5" cm="1">
        <f t="array" ref="O50">IF(MATCH($G50,$C$12:$C$19,1)=COLUMN(H:H),INDEX($D$2:$D$9,MATCH($G50,$C$12:$C$19,1)),0)</f>
        <v>0</v>
      </c>
      <c r="P50" s="21">
        <f t="shared" si="1"/>
        <v>4.4000000000000004</v>
      </c>
      <c r="Q50" s="11">
        <v>4.8</v>
      </c>
    </row>
    <row r="51" spans="7:17" x14ac:dyDescent="0.3">
      <c r="G51" s="5">
        <v>50</v>
      </c>
      <c r="H51" s="5" cm="1">
        <f t="array" ref="H51">IF(MATCH($G51,$C$12:$C$19,1)=COLUMN(A:A),INDEX($D$2:$D$9,MATCH($G51,$C$12:$C$19,1)),0)</f>
        <v>0</v>
      </c>
      <c r="I51" s="5" cm="1">
        <f t="array" ref="I51">IF(MATCH($G51,$C$12:$C$19,1)=COLUMN(B:B),INDEX($D$2:$D$9,MATCH($G51,$C$12:$C$19,1)),0)</f>
        <v>0</v>
      </c>
      <c r="J51" s="5" cm="1">
        <f t="array" ref="J51">IF(MATCH($G51,$C$12:$C$19,1)=COLUMN(C:C),INDEX($D$2:$D$9,MATCH($G51,$C$12:$C$19,1)),0)</f>
        <v>0</v>
      </c>
      <c r="K51" s="5" cm="1">
        <f t="array" ref="K51">IF(MATCH($G51,$C$12:$C$19,1)=COLUMN(D:D),INDEX($D$2:$D$9,MATCH($G51,$C$12:$C$19,1)),0)</f>
        <v>0</v>
      </c>
      <c r="L51" s="5" cm="1">
        <f t="array" ref="L51">IF(MATCH($G51,$C$12:$C$19,1)=COLUMN(E:E),INDEX($D$2:$D$9,MATCH($G51,$C$12:$C$19,1)),0)</f>
        <v>0</v>
      </c>
      <c r="M51" s="21" cm="1">
        <f t="array" ref="M51">IF(MATCH($G51,$C$12:$C$19,1)=COLUMN(F:F),INDEX($D$2:$D$9,MATCH($G51,$C$12:$C$19,1)),0)</f>
        <v>3.4</v>
      </c>
      <c r="N51" s="5" cm="1">
        <f t="array" ref="N51">IF(MATCH($G51,$C$12:$C$19,1)=COLUMN(G:G),INDEX($D$2:$D$9,MATCH($G51,$C$12:$C$19,1)),0)</f>
        <v>0</v>
      </c>
      <c r="O51" s="5" cm="1">
        <f t="array" ref="O51">IF(MATCH($G51,$C$12:$C$19,1)=COLUMN(H:H),INDEX($D$2:$D$9,MATCH($G51,$C$12:$C$19,1)),0)</f>
        <v>0</v>
      </c>
      <c r="P51" s="21">
        <f t="shared" si="1"/>
        <v>4.4000000000000004</v>
      </c>
      <c r="Q51" s="11">
        <v>4.9000000000000004</v>
      </c>
    </row>
    <row r="52" spans="7:17" x14ac:dyDescent="0.3">
      <c r="G52" s="5">
        <v>51</v>
      </c>
      <c r="H52" s="5" cm="1">
        <f t="array" ref="H52">IF(MATCH($G52,$C$12:$C$19,1)=COLUMN(A:A),INDEX($D$2:$D$9,MATCH($G52,$C$12:$C$19,1)),0)</f>
        <v>0</v>
      </c>
      <c r="I52" s="5" cm="1">
        <f t="array" ref="I52">IF(MATCH($G52,$C$12:$C$19,1)=COLUMN(B:B),INDEX($D$2:$D$9,MATCH($G52,$C$12:$C$19,1)),0)</f>
        <v>0</v>
      </c>
      <c r="J52" s="5" cm="1">
        <f t="array" ref="J52">IF(MATCH($G52,$C$12:$C$19,1)=COLUMN(C:C),INDEX($D$2:$D$9,MATCH($G52,$C$12:$C$19,1)),0)</f>
        <v>0</v>
      </c>
      <c r="K52" s="5" cm="1">
        <f t="array" ref="K52">IF(MATCH($G52,$C$12:$C$19,1)=COLUMN(D:D),INDEX($D$2:$D$9,MATCH($G52,$C$12:$C$19,1)),0)</f>
        <v>0</v>
      </c>
      <c r="L52" s="5" cm="1">
        <f t="array" ref="L52">IF(MATCH($G52,$C$12:$C$19,1)=COLUMN(E:E),INDEX($D$2:$D$9,MATCH($G52,$C$12:$C$19,1)),0)</f>
        <v>0</v>
      </c>
      <c r="M52" s="5" cm="1">
        <f t="array" ref="M52">IF(MATCH($G52,$C$12:$C$19,1)=COLUMN(F:F),INDEX($D$2:$D$9,MATCH($G52,$C$12:$C$19,1)),0)</f>
        <v>0</v>
      </c>
      <c r="N52" s="21" cm="1">
        <f t="array" ref="N52">IF(MATCH($G52,$C$12:$C$19,1)=COLUMN(G:G),INDEX($D$2:$D$9,MATCH($G52,$C$12:$C$19,1)),0)</f>
        <v>1.8</v>
      </c>
      <c r="O52" s="5" cm="1">
        <f t="array" ref="O52">IF(MATCH($G52,$C$12:$C$19,1)=COLUMN(H:H),INDEX($D$2:$D$9,MATCH($G52,$C$12:$C$19,1)),0)</f>
        <v>0</v>
      </c>
      <c r="P52" s="21">
        <f t="shared" si="1"/>
        <v>4.4000000000000004</v>
      </c>
      <c r="Q52" s="11">
        <v>5</v>
      </c>
    </row>
    <row r="53" spans="7:17" x14ac:dyDescent="0.3">
      <c r="G53" s="5">
        <v>52</v>
      </c>
      <c r="H53" s="5" cm="1">
        <f t="array" ref="H53">IF(MATCH($G53,$C$12:$C$19,1)=COLUMN(A:A),INDEX($D$2:$D$9,MATCH($G53,$C$12:$C$19,1)),0)</f>
        <v>0</v>
      </c>
      <c r="I53" s="5" cm="1">
        <f t="array" ref="I53">IF(MATCH($G53,$C$12:$C$19,1)=COLUMN(B:B),INDEX($D$2:$D$9,MATCH($G53,$C$12:$C$19,1)),0)</f>
        <v>0</v>
      </c>
      <c r="J53" s="5" cm="1">
        <f t="array" ref="J53">IF(MATCH($G53,$C$12:$C$19,1)=COLUMN(C:C),INDEX($D$2:$D$9,MATCH($G53,$C$12:$C$19,1)),0)</f>
        <v>0</v>
      </c>
      <c r="K53" s="5" cm="1">
        <f t="array" ref="K53">IF(MATCH($G53,$C$12:$C$19,1)=COLUMN(D:D),INDEX($D$2:$D$9,MATCH($G53,$C$12:$C$19,1)),0)</f>
        <v>0</v>
      </c>
      <c r="L53" s="5" cm="1">
        <f t="array" ref="L53">IF(MATCH($G53,$C$12:$C$19,1)=COLUMN(E:E),INDEX($D$2:$D$9,MATCH($G53,$C$12:$C$19,1)),0)</f>
        <v>0</v>
      </c>
      <c r="M53" s="5" cm="1">
        <f t="array" ref="M53">IF(MATCH($G53,$C$12:$C$19,1)=COLUMN(F:F),INDEX($D$2:$D$9,MATCH($G53,$C$12:$C$19,1)),0)</f>
        <v>0</v>
      </c>
      <c r="N53" s="21" cm="1">
        <f t="array" ref="N53">IF(MATCH($G53,$C$12:$C$19,1)=COLUMN(G:G),INDEX($D$2:$D$9,MATCH($G53,$C$12:$C$19,1)),0)</f>
        <v>1.8</v>
      </c>
      <c r="O53" s="5" cm="1">
        <f t="array" ref="O53">IF(MATCH($G53,$C$12:$C$19,1)=COLUMN(H:H),INDEX($D$2:$D$9,MATCH($G53,$C$12:$C$19,1)),0)</f>
        <v>0</v>
      </c>
      <c r="P53" s="21">
        <f t="shared" si="1"/>
        <v>4.4000000000000004</v>
      </c>
      <c r="Q53" s="11">
        <v>5.0999999999999996</v>
      </c>
    </row>
    <row r="54" spans="7:17" x14ac:dyDescent="0.3">
      <c r="G54" s="5">
        <v>53</v>
      </c>
      <c r="H54" s="5" cm="1">
        <f t="array" ref="H54">IF(MATCH($G54,$C$12:$C$19,1)=COLUMN(A:A),INDEX($D$2:$D$9,MATCH($G54,$C$12:$C$19,1)),0)</f>
        <v>0</v>
      </c>
      <c r="I54" s="5" cm="1">
        <f t="array" ref="I54">IF(MATCH($G54,$C$12:$C$19,1)=COLUMN(B:B),INDEX($D$2:$D$9,MATCH($G54,$C$12:$C$19,1)),0)</f>
        <v>0</v>
      </c>
      <c r="J54" s="5" cm="1">
        <f t="array" ref="J54">IF(MATCH($G54,$C$12:$C$19,1)=COLUMN(C:C),INDEX($D$2:$D$9,MATCH($G54,$C$12:$C$19,1)),0)</f>
        <v>0</v>
      </c>
      <c r="K54" s="5" cm="1">
        <f t="array" ref="K54">IF(MATCH($G54,$C$12:$C$19,1)=COLUMN(D:D),INDEX($D$2:$D$9,MATCH($G54,$C$12:$C$19,1)),0)</f>
        <v>0</v>
      </c>
      <c r="L54" s="5" cm="1">
        <f t="array" ref="L54">IF(MATCH($G54,$C$12:$C$19,1)=COLUMN(E:E),INDEX($D$2:$D$9,MATCH($G54,$C$12:$C$19,1)),0)</f>
        <v>0</v>
      </c>
      <c r="M54" s="5" cm="1">
        <f t="array" ref="M54">IF(MATCH($G54,$C$12:$C$19,1)=COLUMN(F:F),INDEX($D$2:$D$9,MATCH($G54,$C$12:$C$19,1)),0)</f>
        <v>0</v>
      </c>
      <c r="N54" s="21" cm="1">
        <f t="array" ref="N54">IF(MATCH($G54,$C$12:$C$19,1)=COLUMN(G:G),INDEX($D$2:$D$9,MATCH($G54,$C$12:$C$19,1)),0)</f>
        <v>1.8</v>
      </c>
      <c r="O54" s="5" cm="1">
        <f t="array" ref="O54">IF(MATCH($G54,$C$12:$C$19,1)=COLUMN(H:H),INDEX($D$2:$D$9,MATCH($G54,$C$12:$C$19,1)),0)</f>
        <v>0</v>
      </c>
      <c r="P54" s="21">
        <f t="shared" si="1"/>
        <v>4.4000000000000004</v>
      </c>
      <c r="Q54" s="11">
        <v>5.2</v>
      </c>
    </row>
    <row r="55" spans="7:17" x14ac:dyDescent="0.3">
      <c r="G55" s="5">
        <v>54</v>
      </c>
      <c r="H55" s="5" cm="1">
        <f t="array" ref="H55">IF(MATCH($G55,$C$12:$C$19,1)=COLUMN(A:A),INDEX($D$2:$D$9,MATCH($G55,$C$12:$C$19,1)),0)</f>
        <v>0</v>
      </c>
      <c r="I55" s="5" cm="1">
        <f t="array" ref="I55">IF(MATCH($G55,$C$12:$C$19,1)=COLUMN(B:B),INDEX($D$2:$D$9,MATCH($G55,$C$12:$C$19,1)),0)</f>
        <v>0</v>
      </c>
      <c r="J55" s="5" cm="1">
        <f t="array" ref="J55">IF(MATCH($G55,$C$12:$C$19,1)=COLUMN(C:C),INDEX($D$2:$D$9,MATCH($G55,$C$12:$C$19,1)),0)</f>
        <v>0</v>
      </c>
      <c r="K55" s="5" cm="1">
        <f t="array" ref="K55">IF(MATCH($G55,$C$12:$C$19,1)=COLUMN(D:D),INDEX($D$2:$D$9,MATCH($G55,$C$12:$C$19,1)),0)</f>
        <v>0</v>
      </c>
      <c r="L55" s="5" cm="1">
        <f t="array" ref="L55">IF(MATCH($G55,$C$12:$C$19,1)=COLUMN(E:E),INDEX($D$2:$D$9,MATCH($G55,$C$12:$C$19,1)),0)</f>
        <v>0</v>
      </c>
      <c r="M55" s="5" cm="1">
        <f t="array" ref="M55">IF(MATCH($G55,$C$12:$C$19,1)=COLUMN(F:F),INDEX($D$2:$D$9,MATCH($G55,$C$12:$C$19,1)),0)</f>
        <v>0</v>
      </c>
      <c r="N55" s="21" cm="1">
        <f t="array" ref="N55">IF(MATCH($G55,$C$12:$C$19,1)=COLUMN(G:G),INDEX($D$2:$D$9,MATCH($G55,$C$12:$C$19,1)),0)</f>
        <v>1.8</v>
      </c>
      <c r="O55" s="5" cm="1">
        <f t="array" ref="O55">IF(MATCH($G55,$C$12:$C$19,1)=COLUMN(H:H),INDEX($D$2:$D$9,MATCH($G55,$C$12:$C$19,1)),0)</f>
        <v>0</v>
      </c>
      <c r="P55" s="21">
        <f t="shared" si="1"/>
        <v>4.4000000000000004</v>
      </c>
      <c r="Q55" s="11">
        <v>5.3</v>
      </c>
    </row>
    <row r="56" spans="7:17" x14ac:dyDescent="0.3">
      <c r="G56" s="5">
        <v>55</v>
      </c>
      <c r="H56" s="5" cm="1">
        <f t="array" ref="H56">IF(MATCH($G56,$C$12:$C$19,1)=COLUMN(A:A),INDEX($D$2:$D$9,MATCH($G56,$C$12:$C$19,1)),0)</f>
        <v>0</v>
      </c>
      <c r="I56" s="5" cm="1">
        <f t="array" ref="I56">IF(MATCH($G56,$C$12:$C$19,1)=COLUMN(B:B),INDEX($D$2:$D$9,MATCH($G56,$C$12:$C$19,1)),0)</f>
        <v>0</v>
      </c>
      <c r="J56" s="5" cm="1">
        <f t="array" ref="J56">IF(MATCH($G56,$C$12:$C$19,1)=COLUMN(C:C),INDEX($D$2:$D$9,MATCH($G56,$C$12:$C$19,1)),0)</f>
        <v>0</v>
      </c>
      <c r="K56" s="5" cm="1">
        <f t="array" ref="K56">IF(MATCH($G56,$C$12:$C$19,1)=COLUMN(D:D),INDEX($D$2:$D$9,MATCH($G56,$C$12:$C$19,1)),0)</f>
        <v>0</v>
      </c>
      <c r="L56" s="5" cm="1">
        <f t="array" ref="L56">IF(MATCH($G56,$C$12:$C$19,1)=COLUMN(E:E),INDEX($D$2:$D$9,MATCH($G56,$C$12:$C$19,1)),0)</f>
        <v>0</v>
      </c>
      <c r="M56" s="5" cm="1">
        <f t="array" ref="M56">IF(MATCH($G56,$C$12:$C$19,1)=COLUMN(F:F),INDEX($D$2:$D$9,MATCH($G56,$C$12:$C$19,1)),0)</f>
        <v>0</v>
      </c>
      <c r="N56" s="21" cm="1">
        <f t="array" ref="N56">IF(MATCH($G56,$C$12:$C$19,1)=COLUMN(G:G),INDEX($D$2:$D$9,MATCH($G56,$C$12:$C$19,1)),0)</f>
        <v>1.8</v>
      </c>
      <c r="O56" s="5" cm="1">
        <f t="array" ref="O56">IF(MATCH($G56,$C$12:$C$19,1)=COLUMN(H:H),INDEX($D$2:$D$9,MATCH($G56,$C$12:$C$19,1)),0)</f>
        <v>0</v>
      </c>
      <c r="P56" s="21">
        <f t="shared" si="1"/>
        <v>4.4000000000000004</v>
      </c>
      <c r="Q56" s="11">
        <v>5.4</v>
      </c>
    </row>
    <row r="57" spans="7:17" x14ac:dyDescent="0.3">
      <c r="G57" s="5">
        <v>56</v>
      </c>
      <c r="H57" s="5" cm="1">
        <f t="array" ref="H57">IF(MATCH($G57,$C$12:$C$19,1)=COLUMN(A:A),INDEX($D$2:$D$9,MATCH($G57,$C$12:$C$19,1)),0)</f>
        <v>0</v>
      </c>
      <c r="I57" s="5" cm="1">
        <f t="array" ref="I57">IF(MATCH($G57,$C$12:$C$19,1)=COLUMN(B:B),INDEX($D$2:$D$9,MATCH($G57,$C$12:$C$19,1)),0)</f>
        <v>0</v>
      </c>
      <c r="J57" s="5" cm="1">
        <f t="array" ref="J57">IF(MATCH($G57,$C$12:$C$19,1)=COLUMN(C:C),INDEX($D$2:$D$9,MATCH($G57,$C$12:$C$19,1)),0)</f>
        <v>0</v>
      </c>
      <c r="K57" s="5" cm="1">
        <f t="array" ref="K57">IF(MATCH($G57,$C$12:$C$19,1)=COLUMN(D:D),INDEX($D$2:$D$9,MATCH($G57,$C$12:$C$19,1)),0)</f>
        <v>0</v>
      </c>
      <c r="L57" s="5" cm="1">
        <f t="array" ref="L57">IF(MATCH($G57,$C$12:$C$19,1)=COLUMN(E:E),INDEX($D$2:$D$9,MATCH($G57,$C$12:$C$19,1)),0)</f>
        <v>0</v>
      </c>
      <c r="M57" s="5" cm="1">
        <f t="array" ref="M57">IF(MATCH($G57,$C$12:$C$19,1)=COLUMN(F:F),INDEX($D$2:$D$9,MATCH($G57,$C$12:$C$19,1)),0)</f>
        <v>0</v>
      </c>
      <c r="N57" s="21" cm="1">
        <f t="array" ref="N57">IF(MATCH($G57,$C$12:$C$19,1)=COLUMN(G:G),INDEX($D$2:$D$9,MATCH($G57,$C$12:$C$19,1)),0)</f>
        <v>1.8</v>
      </c>
      <c r="O57" s="5" cm="1">
        <f t="array" ref="O57">IF(MATCH($G57,$C$12:$C$19,1)=COLUMN(H:H),INDEX($D$2:$D$9,MATCH($G57,$C$12:$C$19,1)),0)</f>
        <v>0</v>
      </c>
      <c r="P57" s="21">
        <f t="shared" si="1"/>
        <v>4.4000000000000004</v>
      </c>
      <c r="Q57" s="11">
        <v>5.5</v>
      </c>
    </row>
    <row r="58" spans="7:17" x14ac:dyDescent="0.3">
      <c r="G58" s="5">
        <v>57</v>
      </c>
      <c r="H58" s="5" cm="1">
        <f t="array" ref="H58">IF(MATCH($G58,$C$12:$C$19,1)=COLUMN(A:A),INDEX($D$2:$D$9,MATCH($G58,$C$12:$C$19,1)),0)</f>
        <v>0</v>
      </c>
      <c r="I58" s="5" cm="1">
        <f t="array" ref="I58">IF(MATCH($G58,$C$12:$C$19,1)=COLUMN(B:B),INDEX($D$2:$D$9,MATCH($G58,$C$12:$C$19,1)),0)</f>
        <v>0</v>
      </c>
      <c r="J58" s="5" cm="1">
        <f t="array" ref="J58">IF(MATCH($G58,$C$12:$C$19,1)=COLUMN(C:C),INDEX($D$2:$D$9,MATCH($G58,$C$12:$C$19,1)),0)</f>
        <v>0</v>
      </c>
      <c r="K58" s="5" cm="1">
        <f t="array" ref="K58">IF(MATCH($G58,$C$12:$C$19,1)=COLUMN(D:D),INDEX($D$2:$D$9,MATCH($G58,$C$12:$C$19,1)),0)</f>
        <v>0</v>
      </c>
      <c r="L58" s="5" cm="1">
        <f t="array" ref="L58">IF(MATCH($G58,$C$12:$C$19,1)=COLUMN(E:E),INDEX($D$2:$D$9,MATCH($G58,$C$12:$C$19,1)),0)</f>
        <v>0</v>
      </c>
      <c r="M58" s="5" cm="1">
        <f t="array" ref="M58">IF(MATCH($G58,$C$12:$C$19,1)=COLUMN(F:F),INDEX($D$2:$D$9,MATCH($G58,$C$12:$C$19,1)),0)</f>
        <v>0</v>
      </c>
      <c r="N58" s="21" cm="1">
        <f t="array" ref="N58">IF(MATCH($G58,$C$12:$C$19,1)=COLUMN(G:G),INDEX($D$2:$D$9,MATCH($G58,$C$12:$C$19,1)),0)</f>
        <v>1.8</v>
      </c>
      <c r="O58" s="5" cm="1">
        <f t="array" ref="O58">IF(MATCH($G58,$C$12:$C$19,1)=COLUMN(H:H),INDEX($D$2:$D$9,MATCH($G58,$C$12:$C$19,1)),0)</f>
        <v>0</v>
      </c>
      <c r="P58" s="21">
        <f t="shared" si="1"/>
        <v>4.4000000000000004</v>
      </c>
      <c r="Q58" s="11">
        <v>5.6</v>
      </c>
    </row>
    <row r="59" spans="7:17" x14ac:dyDescent="0.3">
      <c r="G59" s="5">
        <v>58</v>
      </c>
      <c r="H59" s="5" cm="1">
        <f t="array" ref="H59">IF(MATCH($G59,$C$12:$C$19,1)=COLUMN(A:A),INDEX($D$2:$D$9,MATCH($G59,$C$12:$C$19,1)),0)</f>
        <v>0</v>
      </c>
      <c r="I59" s="5" cm="1">
        <f t="array" ref="I59">IF(MATCH($G59,$C$12:$C$19,1)=COLUMN(B:B),INDEX($D$2:$D$9,MATCH($G59,$C$12:$C$19,1)),0)</f>
        <v>0</v>
      </c>
      <c r="J59" s="5" cm="1">
        <f t="array" ref="J59">IF(MATCH($G59,$C$12:$C$19,1)=COLUMN(C:C),INDEX($D$2:$D$9,MATCH($G59,$C$12:$C$19,1)),0)</f>
        <v>0</v>
      </c>
      <c r="K59" s="5" cm="1">
        <f t="array" ref="K59">IF(MATCH($G59,$C$12:$C$19,1)=COLUMN(D:D),INDEX($D$2:$D$9,MATCH($G59,$C$12:$C$19,1)),0)</f>
        <v>0</v>
      </c>
      <c r="L59" s="5" cm="1">
        <f t="array" ref="L59">IF(MATCH($G59,$C$12:$C$19,1)=COLUMN(E:E),INDEX($D$2:$D$9,MATCH($G59,$C$12:$C$19,1)),0)</f>
        <v>0</v>
      </c>
      <c r="M59" s="5" cm="1">
        <f t="array" ref="M59">IF(MATCH($G59,$C$12:$C$19,1)=COLUMN(F:F),INDEX($D$2:$D$9,MATCH($G59,$C$12:$C$19,1)),0)</f>
        <v>0</v>
      </c>
      <c r="N59" s="21" cm="1">
        <f t="array" ref="N59">IF(MATCH($G59,$C$12:$C$19,1)=COLUMN(G:G),INDEX($D$2:$D$9,MATCH($G59,$C$12:$C$19,1)),0)</f>
        <v>1.8</v>
      </c>
      <c r="O59" s="5" cm="1">
        <f t="array" ref="O59">IF(MATCH($G59,$C$12:$C$19,1)=COLUMN(H:H),INDEX($D$2:$D$9,MATCH($G59,$C$12:$C$19,1)),0)</f>
        <v>0</v>
      </c>
      <c r="P59" s="21">
        <f t="shared" si="1"/>
        <v>4.4000000000000004</v>
      </c>
      <c r="Q59" s="11">
        <v>5.7</v>
      </c>
    </row>
    <row r="60" spans="7:17" x14ac:dyDescent="0.3">
      <c r="G60" s="5">
        <v>59</v>
      </c>
      <c r="H60" s="5" cm="1">
        <f t="array" ref="H60">IF(MATCH($G60,$C$12:$C$19,1)=COLUMN(A:A),INDEX($D$2:$D$9,MATCH($G60,$C$12:$C$19,1)),0)</f>
        <v>0</v>
      </c>
      <c r="I60" s="5" cm="1">
        <f t="array" ref="I60">IF(MATCH($G60,$C$12:$C$19,1)=COLUMN(B:B),INDEX($D$2:$D$9,MATCH($G60,$C$12:$C$19,1)),0)</f>
        <v>0</v>
      </c>
      <c r="J60" s="5" cm="1">
        <f t="array" ref="J60">IF(MATCH($G60,$C$12:$C$19,1)=COLUMN(C:C),INDEX($D$2:$D$9,MATCH($G60,$C$12:$C$19,1)),0)</f>
        <v>0</v>
      </c>
      <c r="K60" s="5" cm="1">
        <f t="array" ref="K60">IF(MATCH($G60,$C$12:$C$19,1)=COLUMN(D:D),INDEX($D$2:$D$9,MATCH($G60,$C$12:$C$19,1)),0)</f>
        <v>0</v>
      </c>
      <c r="L60" s="5" cm="1">
        <f t="array" ref="L60">IF(MATCH($G60,$C$12:$C$19,1)=COLUMN(E:E),INDEX($D$2:$D$9,MATCH($G60,$C$12:$C$19,1)),0)</f>
        <v>0</v>
      </c>
      <c r="M60" s="5" cm="1">
        <f t="array" ref="M60">IF(MATCH($G60,$C$12:$C$19,1)=COLUMN(F:F),INDEX($D$2:$D$9,MATCH($G60,$C$12:$C$19,1)),0)</f>
        <v>0</v>
      </c>
      <c r="N60" s="21" cm="1">
        <f t="array" ref="N60">IF(MATCH($G60,$C$12:$C$19,1)=COLUMN(G:G),INDEX($D$2:$D$9,MATCH($G60,$C$12:$C$19,1)),0)</f>
        <v>1.8</v>
      </c>
      <c r="O60" s="5" cm="1">
        <f t="array" ref="O60">IF(MATCH($G60,$C$12:$C$19,1)=COLUMN(H:H),INDEX($D$2:$D$9,MATCH($G60,$C$12:$C$19,1)),0)</f>
        <v>0</v>
      </c>
      <c r="P60" s="21">
        <f t="shared" si="1"/>
        <v>4.4000000000000004</v>
      </c>
      <c r="Q60" s="11">
        <v>5.8</v>
      </c>
    </row>
    <row r="61" spans="7:17" x14ac:dyDescent="0.3">
      <c r="G61" s="5">
        <v>60</v>
      </c>
      <c r="H61" s="5" cm="1">
        <f t="array" ref="H61">IF(MATCH($G61,$C$12:$C$19,1)=COLUMN(A:A),INDEX($D$2:$D$9,MATCH($G61,$C$12:$C$19,1)),0)</f>
        <v>0</v>
      </c>
      <c r="I61" s="5" cm="1">
        <f t="array" ref="I61">IF(MATCH($G61,$C$12:$C$19,1)=COLUMN(B:B),INDEX($D$2:$D$9,MATCH($G61,$C$12:$C$19,1)),0)</f>
        <v>0</v>
      </c>
      <c r="J61" s="5" cm="1">
        <f t="array" ref="J61">IF(MATCH($G61,$C$12:$C$19,1)=COLUMN(C:C),INDEX($D$2:$D$9,MATCH($G61,$C$12:$C$19,1)),0)</f>
        <v>0</v>
      </c>
      <c r="K61" s="5" cm="1">
        <f t="array" ref="K61">IF(MATCH($G61,$C$12:$C$19,1)=COLUMN(D:D),INDEX($D$2:$D$9,MATCH($G61,$C$12:$C$19,1)),0)</f>
        <v>0</v>
      </c>
      <c r="L61" s="5" cm="1">
        <f t="array" ref="L61">IF(MATCH($G61,$C$12:$C$19,1)=COLUMN(E:E),INDEX($D$2:$D$9,MATCH($G61,$C$12:$C$19,1)),0)</f>
        <v>0</v>
      </c>
      <c r="M61" s="5" cm="1">
        <f t="array" ref="M61">IF(MATCH($G61,$C$12:$C$19,1)=COLUMN(F:F),INDEX($D$2:$D$9,MATCH($G61,$C$12:$C$19,1)),0)</f>
        <v>0</v>
      </c>
      <c r="N61" s="21" cm="1">
        <f t="array" ref="N61">IF(MATCH($G61,$C$12:$C$19,1)=COLUMN(G:G),INDEX($D$2:$D$9,MATCH($G61,$C$12:$C$19,1)),0)</f>
        <v>1.8</v>
      </c>
      <c r="O61" s="5" cm="1">
        <f t="array" ref="O61">IF(MATCH($G61,$C$12:$C$19,1)=COLUMN(H:H),INDEX($D$2:$D$9,MATCH($G61,$C$12:$C$19,1)),0)</f>
        <v>0</v>
      </c>
      <c r="P61" s="21">
        <f t="shared" si="1"/>
        <v>4.4000000000000004</v>
      </c>
      <c r="Q61" s="11">
        <v>5.9</v>
      </c>
    </row>
    <row r="62" spans="7:17" x14ac:dyDescent="0.3">
      <c r="G62" s="5">
        <v>61</v>
      </c>
      <c r="H62" s="5" cm="1">
        <f t="array" ref="H62">IF(MATCH($G62,$C$12:$C$19,1)=COLUMN(A:A),INDEX($D$2:$D$9,MATCH($G62,$C$12:$C$19,1)),0)</f>
        <v>0</v>
      </c>
      <c r="I62" s="5" cm="1">
        <f t="array" ref="I62">IF(MATCH($G62,$C$12:$C$19,1)=COLUMN(B:B),INDEX($D$2:$D$9,MATCH($G62,$C$12:$C$19,1)),0)</f>
        <v>0</v>
      </c>
      <c r="J62" s="5" cm="1">
        <f t="array" ref="J62">IF(MATCH($G62,$C$12:$C$19,1)=COLUMN(C:C),INDEX($D$2:$D$9,MATCH($G62,$C$12:$C$19,1)),0)</f>
        <v>0</v>
      </c>
      <c r="K62" s="5" cm="1">
        <f t="array" ref="K62">IF(MATCH($G62,$C$12:$C$19,1)=COLUMN(D:D),INDEX($D$2:$D$9,MATCH($G62,$C$12:$C$19,1)),0)</f>
        <v>0</v>
      </c>
      <c r="L62" s="5" cm="1">
        <f t="array" ref="L62">IF(MATCH($G62,$C$12:$C$19,1)=COLUMN(E:E),INDEX($D$2:$D$9,MATCH($G62,$C$12:$C$19,1)),0)</f>
        <v>0</v>
      </c>
      <c r="M62" s="5" cm="1">
        <f t="array" ref="M62">IF(MATCH($G62,$C$12:$C$19,1)=COLUMN(F:F),INDEX($D$2:$D$9,MATCH($G62,$C$12:$C$19,1)),0)</f>
        <v>0</v>
      </c>
      <c r="N62" s="21" cm="1">
        <f t="array" ref="N62">IF(MATCH($G62,$C$12:$C$19,1)=COLUMN(G:G),INDEX($D$2:$D$9,MATCH($G62,$C$12:$C$19,1)),0)</f>
        <v>1.8</v>
      </c>
      <c r="O62" s="5" cm="1">
        <f t="array" ref="O62">IF(MATCH($G62,$C$12:$C$19,1)=COLUMN(H:H),INDEX($D$2:$D$9,MATCH($G62,$C$12:$C$19,1)),0)</f>
        <v>0</v>
      </c>
      <c r="P62" s="21">
        <f t="shared" si="1"/>
        <v>4.4000000000000004</v>
      </c>
      <c r="Q62" s="11">
        <v>6</v>
      </c>
    </row>
    <row r="63" spans="7:17" x14ac:dyDescent="0.3">
      <c r="G63" s="5">
        <v>62</v>
      </c>
      <c r="H63" s="5" cm="1">
        <f t="array" ref="H63">IF(MATCH($G63,$C$12:$C$19,1)=COLUMN(A:A),INDEX($D$2:$D$9,MATCH($G63,$C$12:$C$19,1)),0)</f>
        <v>0</v>
      </c>
      <c r="I63" s="5" cm="1">
        <f t="array" ref="I63">IF(MATCH($G63,$C$12:$C$19,1)=COLUMN(B:B),INDEX($D$2:$D$9,MATCH($G63,$C$12:$C$19,1)),0)</f>
        <v>0</v>
      </c>
      <c r="J63" s="5" cm="1">
        <f t="array" ref="J63">IF(MATCH($G63,$C$12:$C$19,1)=COLUMN(C:C),INDEX($D$2:$D$9,MATCH($G63,$C$12:$C$19,1)),0)</f>
        <v>0</v>
      </c>
      <c r="K63" s="5" cm="1">
        <f t="array" ref="K63">IF(MATCH($G63,$C$12:$C$19,1)=COLUMN(D:D),INDEX($D$2:$D$9,MATCH($G63,$C$12:$C$19,1)),0)</f>
        <v>0</v>
      </c>
      <c r="L63" s="5" cm="1">
        <f t="array" ref="L63">IF(MATCH($G63,$C$12:$C$19,1)=COLUMN(E:E),INDEX($D$2:$D$9,MATCH($G63,$C$12:$C$19,1)),0)</f>
        <v>0</v>
      </c>
      <c r="M63" s="5" cm="1">
        <f t="array" ref="M63">IF(MATCH($G63,$C$12:$C$19,1)=COLUMN(F:F),INDEX($D$2:$D$9,MATCH($G63,$C$12:$C$19,1)),0)</f>
        <v>0</v>
      </c>
      <c r="N63" s="21" cm="1">
        <f t="array" ref="N63">IF(MATCH($G63,$C$12:$C$19,1)=COLUMN(G:G),INDEX($D$2:$D$9,MATCH($G63,$C$12:$C$19,1)),0)</f>
        <v>1.8</v>
      </c>
      <c r="O63" s="5" cm="1">
        <f t="array" ref="O63">IF(MATCH($G63,$C$12:$C$19,1)=COLUMN(H:H),INDEX($D$2:$D$9,MATCH($G63,$C$12:$C$19,1)),0)</f>
        <v>0</v>
      </c>
      <c r="P63" s="21">
        <f t="shared" si="1"/>
        <v>4.4000000000000004</v>
      </c>
      <c r="Q63" s="11">
        <v>6.1</v>
      </c>
    </row>
    <row r="64" spans="7:17" x14ac:dyDescent="0.3">
      <c r="G64" s="5">
        <v>63</v>
      </c>
      <c r="H64" s="5" cm="1">
        <f t="array" ref="H64">IF(MATCH($G64,$C$12:$C$19,1)=COLUMN(A:A),INDEX($D$2:$D$9,MATCH($G64,$C$12:$C$19,1)),0)</f>
        <v>0</v>
      </c>
      <c r="I64" s="5" cm="1">
        <f t="array" ref="I64">IF(MATCH($G64,$C$12:$C$19,1)=COLUMN(B:B),INDEX($D$2:$D$9,MATCH($G64,$C$12:$C$19,1)),0)</f>
        <v>0</v>
      </c>
      <c r="J64" s="5" cm="1">
        <f t="array" ref="J64">IF(MATCH($G64,$C$12:$C$19,1)=COLUMN(C:C),INDEX($D$2:$D$9,MATCH($G64,$C$12:$C$19,1)),0)</f>
        <v>0</v>
      </c>
      <c r="K64" s="5" cm="1">
        <f t="array" ref="K64">IF(MATCH($G64,$C$12:$C$19,1)=COLUMN(D:D),INDEX($D$2:$D$9,MATCH($G64,$C$12:$C$19,1)),0)</f>
        <v>0</v>
      </c>
      <c r="L64" s="5" cm="1">
        <f t="array" ref="L64">IF(MATCH($G64,$C$12:$C$19,1)=COLUMN(E:E),INDEX($D$2:$D$9,MATCH($G64,$C$12:$C$19,1)),0)</f>
        <v>0</v>
      </c>
      <c r="M64" s="5" cm="1">
        <f t="array" ref="M64">IF(MATCH($G64,$C$12:$C$19,1)=COLUMN(F:F),INDEX($D$2:$D$9,MATCH($G64,$C$12:$C$19,1)),0)</f>
        <v>0</v>
      </c>
      <c r="N64" s="21" cm="1">
        <f t="array" ref="N64">IF(MATCH($G64,$C$12:$C$19,1)=COLUMN(G:G),INDEX($D$2:$D$9,MATCH($G64,$C$12:$C$19,1)),0)</f>
        <v>1.8</v>
      </c>
      <c r="O64" s="5" cm="1">
        <f t="array" ref="O64">IF(MATCH($G64,$C$12:$C$19,1)=COLUMN(H:H),INDEX($D$2:$D$9,MATCH($G64,$C$12:$C$19,1)),0)</f>
        <v>0</v>
      </c>
      <c r="P64" s="21">
        <f t="shared" si="1"/>
        <v>4.4000000000000004</v>
      </c>
      <c r="Q64" s="11">
        <v>6.2</v>
      </c>
    </row>
    <row r="65" spans="7:17" x14ac:dyDescent="0.3">
      <c r="G65" s="5">
        <v>64</v>
      </c>
      <c r="H65" s="5" cm="1">
        <f t="array" ref="H65">IF(MATCH($G65,$C$12:$C$19,1)=COLUMN(A:A),INDEX($D$2:$D$9,MATCH($G65,$C$12:$C$19,1)),0)</f>
        <v>0</v>
      </c>
      <c r="I65" s="5" cm="1">
        <f t="array" ref="I65">IF(MATCH($G65,$C$12:$C$19,1)=COLUMN(B:B),INDEX($D$2:$D$9,MATCH($G65,$C$12:$C$19,1)),0)</f>
        <v>0</v>
      </c>
      <c r="J65" s="5" cm="1">
        <f t="array" ref="J65">IF(MATCH($G65,$C$12:$C$19,1)=COLUMN(C:C),INDEX($D$2:$D$9,MATCH($G65,$C$12:$C$19,1)),0)</f>
        <v>0</v>
      </c>
      <c r="K65" s="5" cm="1">
        <f t="array" ref="K65">IF(MATCH($G65,$C$12:$C$19,1)=COLUMN(D:D),INDEX($D$2:$D$9,MATCH($G65,$C$12:$C$19,1)),0)</f>
        <v>0</v>
      </c>
      <c r="L65" s="5" cm="1">
        <f t="array" ref="L65">IF(MATCH($G65,$C$12:$C$19,1)=COLUMN(E:E),INDEX($D$2:$D$9,MATCH($G65,$C$12:$C$19,1)),0)</f>
        <v>0</v>
      </c>
      <c r="M65" s="5" cm="1">
        <f t="array" ref="M65">IF(MATCH($G65,$C$12:$C$19,1)=COLUMN(F:F),INDEX($D$2:$D$9,MATCH($G65,$C$12:$C$19,1)),0)</f>
        <v>0</v>
      </c>
      <c r="N65" s="21" cm="1">
        <f t="array" ref="N65">IF(MATCH($G65,$C$12:$C$19,1)=COLUMN(G:G),INDEX($D$2:$D$9,MATCH($G65,$C$12:$C$19,1)),0)</f>
        <v>1.8</v>
      </c>
      <c r="O65" s="5" cm="1">
        <f t="array" ref="O65">IF(MATCH($G65,$C$12:$C$19,1)=COLUMN(H:H),INDEX($D$2:$D$9,MATCH($G65,$C$12:$C$19,1)),0)</f>
        <v>0</v>
      </c>
      <c r="P65" s="21">
        <f t="shared" si="1"/>
        <v>4.4000000000000004</v>
      </c>
      <c r="Q65" s="11">
        <v>6.3</v>
      </c>
    </row>
    <row r="66" spans="7:17" x14ac:dyDescent="0.3">
      <c r="G66" s="5">
        <v>65</v>
      </c>
      <c r="H66" s="5" cm="1">
        <f t="array" ref="H66">IF(MATCH($G66,$C$12:$C$19,1)=COLUMN(A:A),INDEX($D$2:$D$9,MATCH($G66,$C$12:$C$19,1)),0)</f>
        <v>0</v>
      </c>
      <c r="I66" s="5" cm="1">
        <f t="array" ref="I66">IF(MATCH($G66,$C$12:$C$19,1)=COLUMN(B:B),INDEX($D$2:$D$9,MATCH($G66,$C$12:$C$19,1)),0)</f>
        <v>0</v>
      </c>
      <c r="J66" s="5" cm="1">
        <f t="array" ref="J66">IF(MATCH($G66,$C$12:$C$19,1)=COLUMN(C:C),INDEX($D$2:$D$9,MATCH($G66,$C$12:$C$19,1)),0)</f>
        <v>0</v>
      </c>
      <c r="K66" s="5" cm="1">
        <f t="array" ref="K66">IF(MATCH($G66,$C$12:$C$19,1)=COLUMN(D:D),INDEX($D$2:$D$9,MATCH($G66,$C$12:$C$19,1)),0)</f>
        <v>0</v>
      </c>
      <c r="L66" s="5" cm="1">
        <f t="array" ref="L66">IF(MATCH($G66,$C$12:$C$19,1)=COLUMN(E:E),INDEX($D$2:$D$9,MATCH($G66,$C$12:$C$19,1)),0)</f>
        <v>0</v>
      </c>
      <c r="M66" s="5" cm="1">
        <f t="array" ref="M66">IF(MATCH($G66,$C$12:$C$19,1)=COLUMN(F:F),INDEX($D$2:$D$9,MATCH($G66,$C$12:$C$19,1)),0)</f>
        <v>0</v>
      </c>
      <c r="N66" s="5" cm="1">
        <f t="array" ref="N66">IF(MATCH($G66,$C$12:$C$19,1)=COLUMN(G:G),INDEX($D$2:$D$9,MATCH($G66,$C$12:$C$19,1)),0)</f>
        <v>0</v>
      </c>
      <c r="O66" s="21" cm="1">
        <f t="array" ref="O66">IF(MATCH($G66,$C$12:$C$19,1)=COLUMN(H:H),INDEX($D$2:$D$9,MATCH($G66,$C$12:$C$19,1)),0)</f>
        <v>1</v>
      </c>
      <c r="P66" s="21">
        <f t="shared" si="1"/>
        <v>4.4000000000000004</v>
      </c>
      <c r="Q66" s="11">
        <v>6.4</v>
      </c>
    </row>
    <row r="67" spans="7:17" x14ac:dyDescent="0.3">
      <c r="G67" s="5">
        <v>66</v>
      </c>
      <c r="H67" s="5" cm="1">
        <f t="array" ref="H67">IF(MATCH($G67,$C$12:$C$19,1)=COLUMN(A:A),INDEX($D$2:$D$9,MATCH($G67,$C$12:$C$19,1)),0)</f>
        <v>0</v>
      </c>
      <c r="I67" s="5" cm="1">
        <f t="array" ref="I67">IF(MATCH($G67,$C$12:$C$19,1)=COLUMN(B:B),INDEX($D$2:$D$9,MATCH($G67,$C$12:$C$19,1)),0)</f>
        <v>0</v>
      </c>
      <c r="J67" s="5" cm="1">
        <f t="array" ref="J67">IF(MATCH($G67,$C$12:$C$19,1)=COLUMN(C:C),INDEX($D$2:$D$9,MATCH($G67,$C$12:$C$19,1)),0)</f>
        <v>0</v>
      </c>
      <c r="K67" s="5" cm="1">
        <f t="array" ref="K67">IF(MATCH($G67,$C$12:$C$19,1)=COLUMN(D:D),INDEX($D$2:$D$9,MATCH($G67,$C$12:$C$19,1)),0)</f>
        <v>0</v>
      </c>
      <c r="L67" s="5" cm="1">
        <f t="array" ref="L67">IF(MATCH($G67,$C$12:$C$19,1)=COLUMN(E:E),INDEX($D$2:$D$9,MATCH($G67,$C$12:$C$19,1)),0)</f>
        <v>0</v>
      </c>
      <c r="M67" s="5" cm="1">
        <f t="array" ref="M67">IF(MATCH($G67,$C$12:$C$19,1)=COLUMN(F:F),INDEX($D$2:$D$9,MATCH($G67,$C$12:$C$19,1)),0)</f>
        <v>0</v>
      </c>
      <c r="N67" s="5" cm="1">
        <f t="array" ref="N67">IF(MATCH($G67,$C$12:$C$19,1)=COLUMN(G:G),INDEX($D$2:$D$9,MATCH($G67,$C$12:$C$19,1)),0)</f>
        <v>0</v>
      </c>
      <c r="O67" s="21" cm="1">
        <f t="array" ref="O67">IF(MATCH($G67,$C$12:$C$19,1)=COLUMN(H:H),INDEX($D$2:$D$9,MATCH($G67,$C$12:$C$19,1)),0)</f>
        <v>1</v>
      </c>
      <c r="P67" s="21">
        <f t="shared" si="1"/>
        <v>4.4000000000000004</v>
      </c>
      <c r="Q67" s="11">
        <v>6.5</v>
      </c>
    </row>
    <row r="68" spans="7:17" x14ac:dyDescent="0.3">
      <c r="G68" s="5">
        <v>67</v>
      </c>
      <c r="H68" s="5" cm="1">
        <f t="array" ref="H68">IF(MATCH($G68,$C$12:$C$19,1)=COLUMN(A:A),INDEX($D$2:$D$9,MATCH($G68,$C$12:$C$19,1)),0)</f>
        <v>0</v>
      </c>
      <c r="I68" s="5" cm="1">
        <f t="array" ref="I68">IF(MATCH($G68,$C$12:$C$19,1)=COLUMN(B:B),INDEX($D$2:$D$9,MATCH($G68,$C$12:$C$19,1)),0)</f>
        <v>0</v>
      </c>
      <c r="J68" s="5" cm="1">
        <f t="array" ref="J68">IF(MATCH($G68,$C$12:$C$19,1)=COLUMN(C:C),INDEX($D$2:$D$9,MATCH($G68,$C$12:$C$19,1)),0)</f>
        <v>0</v>
      </c>
      <c r="K68" s="5" cm="1">
        <f t="array" ref="K68">IF(MATCH($G68,$C$12:$C$19,1)=COLUMN(D:D),INDEX($D$2:$D$9,MATCH($G68,$C$12:$C$19,1)),0)</f>
        <v>0</v>
      </c>
      <c r="L68" s="5" cm="1">
        <f t="array" ref="L68">IF(MATCH($G68,$C$12:$C$19,1)=COLUMN(E:E),INDEX($D$2:$D$9,MATCH($G68,$C$12:$C$19,1)),0)</f>
        <v>0</v>
      </c>
      <c r="M68" s="5" cm="1">
        <f t="array" ref="M68">IF(MATCH($G68,$C$12:$C$19,1)=COLUMN(F:F),INDEX($D$2:$D$9,MATCH($G68,$C$12:$C$19,1)),0)</f>
        <v>0</v>
      </c>
      <c r="N68" s="5" cm="1">
        <f t="array" ref="N68">IF(MATCH($G68,$C$12:$C$19,1)=COLUMN(G:G),INDEX($D$2:$D$9,MATCH($G68,$C$12:$C$19,1)),0)</f>
        <v>0</v>
      </c>
      <c r="O68" s="21" cm="1">
        <f t="array" ref="O68">IF(MATCH($G68,$C$12:$C$19,1)=COLUMN(H:H),INDEX($D$2:$D$9,MATCH($G68,$C$12:$C$19,1)),0)</f>
        <v>1</v>
      </c>
      <c r="P68" s="21">
        <f t="shared" si="1"/>
        <v>4.4000000000000004</v>
      </c>
      <c r="Q68" s="11">
        <v>6.6</v>
      </c>
    </row>
    <row r="69" spans="7:17" x14ac:dyDescent="0.3">
      <c r="G69" s="5">
        <v>68</v>
      </c>
      <c r="H69" s="5" cm="1">
        <f t="array" ref="H69">IF(MATCH($G69,$C$12:$C$19,1)=COLUMN(A:A),INDEX($D$2:$D$9,MATCH($G69,$C$12:$C$19,1)),0)</f>
        <v>0</v>
      </c>
      <c r="I69" s="5" cm="1">
        <f t="array" ref="I69">IF(MATCH($G69,$C$12:$C$19,1)=COLUMN(B:B),INDEX($D$2:$D$9,MATCH($G69,$C$12:$C$19,1)),0)</f>
        <v>0</v>
      </c>
      <c r="J69" s="5" cm="1">
        <f t="array" ref="J69">IF(MATCH($G69,$C$12:$C$19,1)=COLUMN(C:C),INDEX($D$2:$D$9,MATCH($G69,$C$12:$C$19,1)),0)</f>
        <v>0</v>
      </c>
      <c r="K69" s="5" cm="1">
        <f t="array" ref="K69">IF(MATCH($G69,$C$12:$C$19,1)=COLUMN(D:D),INDEX($D$2:$D$9,MATCH($G69,$C$12:$C$19,1)),0)</f>
        <v>0</v>
      </c>
      <c r="L69" s="5" cm="1">
        <f t="array" ref="L69">IF(MATCH($G69,$C$12:$C$19,1)=COLUMN(E:E),INDEX($D$2:$D$9,MATCH($G69,$C$12:$C$19,1)),0)</f>
        <v>0</v>
      </c>
      <c r="M69" s="5" cm="1">
        <f t="array" ref="M69">IF(MATCH($G69,$C$12:$C$19,1)=COLUMN(F:F),INDEX($D$2:$D$9,MATCH($G69,$C$12:$C$19,1)),0)</f>
        <v>0</v>
      </c>
      <c r="N69" s="5" cm="1">
        <f t="array" ref="N69">IF(MATCH($G69,$C$12:$C$19,1)=COLUMN(G:G),INDEX($D$2:$D$9,MATCH($G69,$C$12:$C$19,1)),0)</f>
        <v>0</v>
      </c>
      <c r="O69" s="21" cm="1">
        <f t="array" ref="O69">IF(MATCH($G69,$C$12:$C$19,1)=COLUMN(H:H),INDEX($D$2:$D$9,MATCH($G69,$C$12:$C$19,1)),0)</f>
        <v>1</v>
      </c>
      <c r="P69" s="21">
        <f t="shared" si="1"/>
        <v>4.4000000000000004</v>
      </c>
      <c r="Q69" s="11">
        <v>6.7</v>
      </c>
    </row>
    <row r="70" spans="7:17" x14ac:dyDescent="0.3">
      <c r="G70" s="5">
        <v>69</v>
      </c>
      <c r="H70" s="5" cm="1">
        <f t="array" ref="H70">IF(MATCH($G70,$C$12:$C$19,1)=COLUMN(A:A),INDEX($D$2:$D$9,MATCH($G70,$C$12:$C$19,1)),0)</f>
        <v>0</v>
      </c>
      <c r="I70" s="5" cm="1">
        <f t="array" ref="I70">IF(MATCH($G70,$C$12:$C$19,1)=COLUMN(B:B),INDEX($D$2:$D$9,MATCH($G70,$C$12:$C$19,1)),0)</f>
        <v>0</v>
      </c>
      <c r="J70" s="5" cm="1">
        <f t="array" ref="J70">IF(MATCH($G70,$C$12:$C$19,1)=COLUMN(C:C),INDEX($D$2:$D$9,MATCH($G70,$C$12:$C$19,1)),0)</f>
        <v>0</v>
      </c>
      <c r="K70" s="5" cm="1">
        <f t="array" ref="K70">IF(MATCH($G70,$C$12:$C$19,1)=COLUMN(D:D),INDEX($D$2:$D$9,MATCH($G70,$C$12:$C$19,1)),0)</f>
        <v>0</v>
      </c>
      <c r="L70" s="5" cm="1">
        <f t="array" ref="L70">IF(MATCH($G70,$C$12:$C$19,1)=COLUMN(E:E),INDEX($D$2:$D$9,MATCH($G70,$C$12:$C$19,1)),0)</f>
        <v>0</v>
      </c>
      <c r="M70" s="5" cm="1">
        <f t="array" ref="M70">IF(MATCH($G70,$C$12:$C$19,1)=COLUMN(F:F),INDEX($D$2:$D$9,MATCH($G70,$C$12:$C$19,1)),0)</f>
        <v>0</v>
      </c>
      <c r="N70" s="5" cm="1">
        <f t="array" ref="N70">IF(MATCH($G70,$C$12:$C$19,1)=COLUMN(G:G),INDEX($D$2:$D$9,MATCH($G70,$C$12:$C$19,1)),0)</f>
        <v>0</v>
      </c>
      <c r="O70" s="21" cm="1">
        <f t="array" ref="O70">IF(MATCH($G70,$C$12:$C$19,1)=COLUMN(H:H),INDEX($D$2:$D$9,MATCH($G70,$C$12:$C$19,1)),0)</f>
        <v>1</v>
      </c>
      <c r="P70" s="21">
        <f t="shared" si="1"/>
        <v>4.4000000000000004</v>
      </c>
      <c r="Q70" s="11">
        <v>6.8</v>
      </c>
    </row>
    <row r="71" spans="7:17" x14ac:dyDescent="0.3">
      <c r="G71" s="5">
        <v>70</v>
      </c>
      <c r="H71" s="5" cm="1">
        <f t="array" ref="H71">IF(MATCH($G71,$C$12:$C$19,1)=COLUMN(A:A),INDEX($D$2:$D$9,MATCH($G71,$C$12:$C$19,1)),0)</f>
        <v>0</v>
      </c>
      <c r="I71" s="5" cm="1">
        <f t="array" ref="I71">IF(MATCH($G71,$C$12:$C$19,1)=COLUMN(B:B),INDEX($D$2:$D$9,MATCH($G71,$C$12:$C$19,1)),0)</f>
        <v>0</v>
      </c>
      <c r="J71" s="5" cm="1">
        <f t="array" ref="J71">IF(MATCH($G71,$C$12:$C$19,1)=COLUMN(C:C),INDEX($D$2:$D$9,MATCH($G71,$C$12:$C$19,1)),0)</f>
        <v>0</v>
      </c>
      <c r="K71" s="5" cm="1">
        <f t="array" ref="K71">IF(MATCH($G71,$C$12:$C$19,1)=COLUMN(D:D),INDEX($D$2:$D$9,MATCH($G71,$C$12:$C$19,1)),0)</f>
        <v>0</v>
      </c>
      <c r="L71" s="5" cm="1">
        <f t="array" ref="L71">IF(MATCH($G71,$C$12:$C$19,1)=COLUMN(E:E),INDEX($D$2:$D$9,MATCH($G71,$C$12:$C$19,1)),0)</f>
        <v>0</v>
      </c>
      <c r="M71" s="5" cm="1">
        <f t="array" ref="M71">IF(MATCH($G71,$C$12:$C$19,1)=COLUMN(F:F),INDEX($D$2:$D$9,MATCH($G71,$C$12:$C$19,1)),0)</f>
        <v>0</v>
      </c>
      <c r="N71" s="5" cm="1">
        <f t="array" ref="N71">IF(MATCH($G71,$C$12:$C$19,1)=COLUMN(G:G),INDEX($D$2:$D$9,MATCH($G71,$C$12:$C$19,1)),0)</f>
        <v>0</v>
      </c>
      <c r="O71" s="21" cm="1">
        <f t="array" ref="O71">IF(MATCH($G71,$C$12:$C$19,1)=COLUMN(H:H),INDEX($D$2:$D$9,MATCH($G71,$C$12:$C$19,1)),0)</f>
        <v>1</v>
      </c>
      <c r="P71" s="21">
        <f t="shared" si="1"/>
        <v>4.4000000000000004</v>
      </c>
      <c r="Q71" s="11">
        <v>6.9</v>
      </c>
    </row>
    <row r="72" spans="7:17" x14ac:dyDescent="0.3">
      <c r="G72" s="5">
        <v>71</v>
      </c>
      <c r="H72" s="5" cm="1">
        <f t="array" ref="H72">IF(MATCH($G72,$C$12:$C$19,1)=COLUMN(A:A),INDEX($D$2:$D$9,MATCH($G72,$C$12:$C$19,1)),0)</f>
        <v>0</v>
      </c>
      <c r="I72" s="5" cm="1">
        <f t="array" ref="I72">IF(MATCH($G72,$C$12:$C$19,1)=COLUMN(B:B),INDEX($D$2:$D$9,MATCH($G72,$C$12:$C$19,1)),0)</f>
        <v>0</v>
      </c>
      <c r="J72" s="5" cm="1">
        <f t="array" ref="J72">IF(MATCH($G72,$C$12:$C$19,1)=COLUMN(C:C),INDEX($D$2:$D$9,MATCH($G72,$C$12:$C$19,1)),0)</f>
        <v>0</v>
      </c>
      <c r="K72" s="5" cm="1">
        <f t="array" ref="K72">IF(MATCH($G72,$C$12:$C$19,1)=COLUMN(D:D),INDEX($D$2:$D$9,MATCH($G72,$C$12:$C$19,1)),0)</f>
        <v>0</v>
      </c>
      <c r="L72" s="5" cm="1">
        <f t="array" ref="L72">IF(MATCH($G72,$C$12:$C$19,1)=COLUMN(E:E),INDEX($D$2:$D$9,MATCH($G72,$C$12:$C$19,1)),0)</f>
        <v>0</v>
      </c>
      <c r="M72" s="5" cm="1">
        <f t="array" ref="M72">IF(MATCH($G72,$C$12:$C$19,1)=COLUMN(F:F),INDEX($D$2:$D$9,MATCH($G72,$C$12:$C$19,1)),0)</f>
        <v>0</v>
      </c>
      <c r="N72" s="5" cm="1">
        <f t="array" ref="N72">IF(MATCH($G72,$C$12:$C$19,1)=COLUMN(G:G),INDEX($D$2:$D$9,MATCH($G72,$C$12:$C$19,1)),0)</f>
        <v>0</v>
      </c>
      <c r="O72" s="21" cm="1">
        <f t="array" ref="O72">IF(MATCH($G72,$C$12:$C$19,1)=COLUMN(H:H),INDEX($D$2:$D$9,MATCH($G72,$C$12:$C$19,1)),0)</f>
        <v>1</v>
      </c>
      <c r="P72" s="21">
        <f t="shared" si="1"/>
        <v>4.4000000000000004</v>
      </c>
      <c r="Q72" s="11">
        <v>7</v>
      </c>
    </row>
    <row r="73" spans="7:17" x14ac:dyDescent="0.3">
      <c r="G73" s="5">
        <v>72</v>
      </c>
      <c r="H73" s="5" cm="1">
        <f t="array" ref="H73">IF(MATCH($G73,$C$12:$C$19,1)=COLUMN(A:A),INDEX($D$2:$D$9,MATCH($G73,$C$12:$C$19,1)),0)</f>
        <v>0</v>
      </c>
      <c r="I73" s="5" cm="1">
        <f t="array" ref="I73">IF(MATCH($G73,$C$12:$C$19,1)=COLUMN(B:B),INDEX($D$2:$D$9,MATCH($G73,$C$12:$C$19,1)),0)</f>
        <v>0</v>
      </c>
      <c r="J73" s="5" cm="1">
        <f t="array" ref="J73">IF(MATCH($G73,$C$12:$C$19,1)=COLUMN(C:C),INDEX($D$2:$D$9,MATCH($G73,$C$12:$C$19,1)),0)</f>
        <v>0</v>
      </c>
      <c r="K73" s="5" cm="1">
        <f t="array" ref="K73">IF(MATCH($G73,$C$12:$C$19,1)=COLUMN(D:D),INDEX($D$2:$D$9,MATCH($G73,$C$12:$C$19,1)),0)</f>
        <v>0</v>
      </c>
      <c r="L73" s="5" cm="1">
        <f t="array" ref="L73">IF(MATCH($G73,$C$12:$C$19,1)=COLUMN(E:E),INDEX($D$2:$D$9,MATCH($G73,$C$12:$C$19,1)),0)</f>
        <v>0</v>
      </c>
      <c r="M73" s="5" cm="1">
        <f t="array" ref="M73">IF(MATCH($G73,$C$12:$C$19,1)=COLUMN(F:F),INDEX($D$2:$D$9,MATCH($G73,$C$12:$C$19,1)),0)</f>
        <v>0</v>
      </c>
      <c r="N73" s="5" cm="1">
        <f t="array" ref="N73">IF(MATCH($G73,$C$12:$C$19,1)=COLUMN(G:G),INDEX($D$2:$D$9,MATCH($G73,$C$12:$C$19,1)),0)</f>
        <v>0</v>
      </c>
      <c r="O73" s="21" cm="1">
        <f t="array" ref="O73">IF(MATCH($G73,$C$12:$C$19,1)=COLUMN(H:H),INDEX($D$2:$D$9,MATCH($G73,$C$12:$C$19,1)),0)</f>
        <v>1</v>
      </c>
      <c r="P73" s="21">
        <f t="shared" si="1"/>
        <v>4.4000000000000004</v>
      </c>
      <c r="Q73" s="11">
        <v>7.1</v>
      </c>
    </row>
    <row r="74" spans="7:17" x14ac:dyDescent="0.3">
      <c r="G74" s="5">
        <v>73</v>
      </c>
      <c r="H74" s="5" cm="1">
        <f t="array" ref="H74">IF(MATCH($G74,$C$12:$C$19,1)=COLUMN(A:A),INDEX($D$2:$D$9,MATCH($G74,$C$12:$C$19,1)),0)</f>
        <v>0</v>
      </c>
      <c r="I74" s="5" cm="1">
        <f t="array" ref="I74">IF(MATCH($G74,$C$12:$C$19,1)=COLUMN(B:B),INDEX($D$2:$D$9,MATCH($G74,$C$12:$C$19,1)),0)</f>
        <v>0</v>
      </c>
      <c r="J74" s="5" cm="1">
        <f t="array" ref="J74">IF(MATCH($G74,$C$12:$C$19,1)=COLUMN(C:C),INDEX($D$2:$D$9,MATCH($G74,$C$12:$C$19,1)),0)</f>
        <v>0</v>
      </c>
      <c r="K74" s="5" cm="1">
        <f t="array" ref="K74">IF(MATCH($G74,$C$12:$C$19,1)=COLUMN(D:D),INDEX($D$2:$D$9,MATCH($G74,$C$12:$C$19,1)),0)</f>
        <v>0</v>
      </c>
      <c r="L74" s="5" cm="1">
        <f t="array" ref="L74">IF(MATCH($G74,$C$12:$C$19,1)=COLUMN(E:E),INDEX($D$2:$D$9,MATCH($G74,$C$12:$C$19,1)),0)</f>
        <v>0</v>
      </c>
      <c r="M74" s="5" cm="1">
        <f t="array" ref="M74">IF(MATCH($G74,$C$12:$C$19,1)=COLUMN(F:F),INDEX($D$2:$D$9,MATCH($G74,$C$12:$C$19,1)),0)</f>
        <v>0</v>
      </c>
      <c r="N74" s="5" cm="1">
        <f t="array" ref="N74">IF(MATCH($G74,$C$12:$C$19,1)=COLUMN(G:G),INDEX($D$2:$D$9,MATCH($G74,$C$12:$C$19,1)),0)</f>
        <v>0</v>
      </c>
      <c r="O74" s="21" cm="1">
        <f t="array" ref="O74">IF(MATCH($G74,$C$12:$C$19,1)=COLUMN(H:H),INDEX($D$2:$D$9,MATCH($G74,$C$12:$C$19,1)),0)</f>
        <v>1</v>
      </c>
      <c r="P74" s="21">
        <f t="shared" si="1"/>
        <v>4.4000000000000004</v>
      </c>
      <c r="Q74" s="11">
        <v>7.2</v>
      </c>
    </row>
    <row r="75" spans="7:17" x14ac:dyDescent="0.3">
      <c r="G75" s="5">
        <v>74</v>
      </c>
      <c r="H75" s="5" cm="1">
        <f t="array" ref="H75">IF(MATCH($G75,$C$12:$C$19,1)=COLUMN(A:A),INDEX($D$2:$D$9,MATCH($G75,$C$12:$C$19,1)),0)</f>
        <v>0</v>
      </c>
      <c r="I75" s="5" cm="1">
        <f t="array" ref="I75">IF(MATCH($G75,$C$12:$C$19,1)=COLUMN(B:B),INDEX($D$2:$D$9,MATCH($G75,$C$12:$C$19,1)),0)</f>
        <v>0</v>
      </c>
      <c r="J75" s="5" cm="1">
        <f t="array" ref="J75">IF(MATCH($G75,$C$12:$C$19,1)=COLUMN(C:C),INDEX($D$2:$D$9,MATCH($G75,$C$12:$C$19,1)),0)</f>
        <v>0</v>
      </c>
      <c r="K75" s="5" cm="1">
        <f t="array" ref="K75">IF(MATCH($G75,$C$12:$C$19,1)=COLUMN(D:D),INDEX($D$2:$D$9,MATCH($G75,$C$12:$C$19,1)),0)</f>
        <v>0</v>
      </c>
      <c r="L75" s="5" cm="1">
        <f t="array" ref="L75">IF(MATCH($G75,$C$12:$C$19,1)=COLUMN(E:E),INDEX($D$2:$D$9,MATCH($G75,$C$12:$C$19,1)),0)</f>
        <v>0</v>
      </c>
      <c r="M75" s="5" cm="1">
        <f t="array" ref="M75">IF(MATCH($G75,$C$12:$C$19,1)=COLUMN(F:F),INDEX($D$2:$D$9,MATCH($G75,$C$12:$C$19,1)),0)</f>
        <v>0</v>
      </c>
      <c r="N75" s="5" cm="1">
        <f t="array" ref="N75">IF(MATCH($G75,$C$12:$C$19,1)=COLUMN(G:G),INDEX($D$2:$D$9,MATCH($G75,$C$12:$C$19,1)),0)</f>
        <v>0</v>
      </c>
      <c r="O75" s="21" cm="1">
        <f t="array" ref="O75">IF(MATCH($G75,$C$12:$C$19,1)=COLUMN(H:H),INDEX($D$2:$D$9,MATCH($G75,$C$12:$C$19,1)),0)</f>
        <v>1</v>
      </c>
      <c r="P75" s="21">
        <f t="shared" si="1"/>
        <v>4.4000000000000004</v>
      </c>
      <c r="Q75" s="11">
        <v>7.3</v>
      </c>
    </row>
    <row r="76" spans="7:17" x14ac:dyDescent="0.3">
      <c r="G76" s="5">
        <v>75</v>
      </c>
      <c r="H76" s="5" cm="1">
        <f t="array" ref="H76">IF(MATCH($G76,$C$12:$C$19,1)=COLUMN(A:A),INDEX($D$2:$D$9,MATCH($G76,$C$12:$C$19,1)),0)</f>
        <v>0</v>
      </c>
      <c r="I76" s="5" cm="1">
        <f t="array" ref="I76">IF(MATCH($G76,$C$12:$C$19,1)=COLUMN(B:B),INDEX($D$2:$D$9,MATCH($G76,$C$12:$C$19,1)),0)</f>
        <v>0</v>
      </c>
      <c r="J76" s="5" cm="1">
        <f t="array" ref="J76">IF(MATCH($G76,$C$12:$C$19,1)=COLUMN(C:C),INDEX($D$2:$D$9,MATCH($G76,$C$12:$C$19,1)),0)</f>
        <v>0</v>
      </c>
      <c r="K76" s="5" cm="1">
        <f t="array" ref="K76">IF(MATCH($G76,$C$12:$C$19,1)=COLUMN(D:D),INDEX($D$2:$D$9,MATCH($G76,$C$12:$C$19,1)),0)</f>
        <v>0</v>
      </c>
      <c r="L76" s="5" cm="1">
        <f t="array" ref="L76">IF(MATCH($G76,$C$12:$C$19,1)=COLUMN(E:E),INDEX($D$2:$D$9,MATCH($G76,$C$12:$C$19,1)),0)</f>
        <v>0</v>
      </c>
      <c r="M76" s="5" cm="1">
        <f t="array" ref="M76">IF(MATCH($G76,$C$12:$C$19,1)=COLUMN(F:F),INDEX($D$2:$D$9,MATCH($G76,$C$12:$C$19,1)),0)</f>
        <v>0</v>
      </c>
      <c r="N76" s="5" cm="1">
        <f t="array" ref="N76">IF(MATCH($G76,$C$12:$C$19,1)=COLUMN(G:G),INDEX($D$2:$D$9,MATCH($G76,$C$12:$C$19,1)),0)</f>
        <v>0</v>
      </c>
      <c r="O76" s="21" cm="1">
        <f t="array" ref="O76">IF(MATCH($G76,$C$12:$C$19,1)=COLUMN(H:H),INDEX($D$2:$D$9,MATCH($G76,$C$12:$C$19,1)),0)</f>
        <v>1</v>
      </c>
      <c r="P76" s="21">
        <f t="shared" si="1"/>
        <v>4.4000000000000004</v>
      </c>
      <c r="Q76" s="11">
        <v>7.4</v>
      </c>
    </row>
    <row r="77" spans="7:17" x14ac:dyDescent="0.3">
      <c r="G77" s="5">
        <v>76</v>
      </c>
      <c r="H77" s="5" cm="1">
        <f t="array" ref="H77">IF(MATCH($G77,$C$12:$C$19,1)=COLUMN(A:A),INDEX($D$2:$D$9,MATCH($G77,$C$12:$C$19,1)),0)</f>
        <v>0</v>
      </c>
      <c r="I77" s="5" cm="1">
        <f t="array" ref="I77">IF(MATCH($G77,$C$12:$C$19,1)=COLUMN(B:B),INDEX($D$2:$D$9,MATCH($G77,$C$12:$C$19,1)),0)</f>
        <v>0</v>
      </c>
      <c r="J77" s="5" cm="1">
        <f t="array" ref="J77">IF(MATCH($G77,$C$12:$C$19,1)=COLUMN(C:C),INDEX($D$2:$D$9,MATCH($G77,$C$12:$C$19,1)),0)</f>
        <v>0</v>
      </c>
      <c r="K77" s="5" cm="1">
        <f t="array" ref="K77">IF(MATCH($G77,$C$12:$C$19,1)=COLUMN(D:D),INDEX($D$2:$D$9,MATCH($G77,$C$12:$C$19,1)),0)</f>
        <v>0</v>
      </c>
      <c r="L77" s="5" cm="1">
        <f t="array" ref="L77">IF(MATCH($G77,$C$12:$C$19,1)=COLUMN(E:E),INDEX($D$2:$D$9,MATCH($G77,$C$12:$C$19,1)),0)</f>
        <v>0</v>
      </c>
      <c r="M77" s="5" cm="1">
        <f t="array" ref="M77">IF(MATCH($G77,$C$12:$C$19,1)=COLUMN(F:F),INDEX($D$2:$D$9,MATCH($G77,$C$12:$C$19,1)),0)</f>
        <v>0</v>
      </c>
      <c r="N77" s="5" cm="1">
        <f t="array" ref="N77">IF(MATCH($G77,$C$12:$C$19,1)=COLUMN(G:G),INDEX($D$2:$D$9,MATCH($G77,$C$12:$C$19,1)),0)</f>
        <v>0</v>
      </c>
      <c r="O77" s="21" cm="1">
        <f t="array" ref="O77">IF(MATCH($G77,$C$12:$C$19,1)=COLUMN(H:H),INDEX($D$2:$D$9,MATCH($G77,$C$12:$C$19,1)),0)</f>
        <v>1</v>
      </c>
      <c r="P77" s="21">
        <f t="shared" si="1"/>
        <v>4.4000000000000004</v>
      </c>
      <c r="Q77" s="11">
        <v>7.5</v>
      </c>
    </row>
    <row r="78" spans="7:17" x14ac:dyDescent="0.3">
      <c r="G78" s="5">
        <v>77</v>
      </c>
      <c r="H78" s="5" cm="1">
        <f t="array" ref="H78">IF(MATCH($G78,$C$12:$C$19,1)=COLUMN(A:A),INDEX($D$2:$D$9,MATCH($G78,$C$12:$C$19,1)),0)</f>
        <v>0</v>
      </c>
      <c r="I78" s="5" cm="1">
        <f t="array" ref="I78">IF(MATCH($G78,$C$12:$C$19,1)=COLUMN(B:B),INDEX($D$2:$D$9,MATCH($G78,$C$12:$C$19,1)),0)</f>
        <v>0</v>
      </c>
      <c r="J78" s="5" cm="1">
        <f t="array" ref="J78">IF(MATCH($G78,$C$12:$C$19,1)=COLUMN(C:C),INDEX($D$2:$D$9,MATCH($G78,$C$12:$C$19,1)),0)</f>
        <v>0</v>
      </c>
      <c r="K78" s="5" cm="1">
        <f t="array" ref="K78">IF(MATCH($G78,$C$12:$C$19,1)=COLUMN(D:D),INDEX($D$2:$D$9,MATCH($G78,$C$12:$C$19,1)),0)</f>
        <v>0</v>
      </c>
      <c r="L78" s="5" cm="1">
        <f t="array" ref="L78">IF(MATCH($G78,$C$12:$C$19,1)=COLUMN(E:E),INDEX($D$2:$D$9,MATCH($G78,$C$12:$C$19,1)),0)</f>
        <v>0</v>
      </c>
      <c r="M78" s="5" cm="1">
        <f t="array" ref="M78">IF(MATCH($G78,$C$12:$C$19,1)=COLUMN(F:F),INDEX($D$2:$D$9,MATCH($G78,$C$12:$C$19,1)),0)</f>
        <v>0</v>
      </c>
      <c r="N78" s="5" cm="1">
        <f t="array" ref="N78">IF(MATCH($G78,$C$12:$C$19,1)=COLUMN(G:G),INDEX($D$2:$D$9,MATCH($G78,$C$12:$C$19,1)),0)</f>
        <v>0</v>
      </c>
      <c r="O78" s="21" cm="1">
        <f t="array" ref="O78">IF(MATCH($G78,$C$12:$C$19,1)=COLUMN(H:H),INDEX($D$2:$D$9,MATCH($G78,$C$12:$C$19,1)),0)</f>
        <v>1</v>
      </c>
      <c r="P78" s="21">
        <f t="shared" si="1"/>
        <v>4.4000000000000004</v>
      </c>
      <c r="Q78" s="11">
        <v>7.6</v>
      </c>
    </row>
    <row r="79" spans="7:17" x14ac:dyDescent="0.3">
      <c r="G79" s="5">
        <v>78</v>
      </c>
      <c r="H79" s="5" cm="1">
        <f t="array" ref="H79">IF(MATCH($G79,$C$12:$C$19,1)=COLUMN(A:A),INDEX($D$2:$D$9,MATCH($G79,$C$12:$C$19,1)),0)</f>
        <v>0</v>
      </c>
      <c r="I79" s="5" cm="1">
        <f t="array" ref="I79">IF(MATCH($G79,$C$12:$C$19,1)=COLUMN(B:B),INDEX($D$2:$D$9,MATCH($G79,$C$12:$C$19,1)),0)</f>
        <v>0</v>
      </c>
      <c r="J79" s="5" cm="1">
        <f t="array" ref="J79">IF(MATCH($G79,$C$12:$C$19,1)=COLUMN(C:C),INDEX($D$2:$D$9,MATCH($G79,$C$12:$C$19,1)),0)</f>
        <v>0</v>
      </c>
      <c r="K79" s="5" cm="1">
        <f t="array" ref="K79">IF(MATCH($G79,$C$12:$C$19,1)=COLUMN(D:D),INDEX($D$2:$D$9,MATCH($G79,$C$12:$C$19,1)),0)</f>
        <v>0</v>
      </c>
      <c r="L79" s="5" cm="1">
        <f t="array" ref="L79">IF(MATCH($G79,$C$12:$C$19,1)=COLUMN(E:E),INDEX($D$2:$D$9,MATCH($G79,$C$12:$C$19,1)),0)</f>
        <v>0</v>
      </c>
      <c r="M79" s="5" cm="1">
        <f t="array" ref="M79">IF(MATCH($G79,$C$12:$C$19,1)=COLUMN(F:F),INDEX($D$2:$D$9,MATCH($G79,$C$12:$C$19,1)),0)</f>
        <v>0</v>
      </c>
      <c r="N79" s="5" cm="1">
        <f t="array" ref="N79">IF(MATCH($G79,$C$12:$C$19,1)=COLUMN(G:G),INDEX($D$2:$D$9,MATCH($G79,$C$12:$C$19,1)),0)</f>
        <v>0</v>
      </c>
      <c r="O79" s="21" cm="1">
        <f t="array" ref="O79">IF(MATCH($G79,$C$12:$C$19,1)=COLUMN(H:H),INDEX($D$2:$D$9,MATCH($G79,$C$12:$C$19,1)),0)</f>
        <v>1</v>
      </c>
      <c r="P79" s="21">
        <f t="shared" si="1"/>
        <v>4.4000000000000004</v>
      </c>
      <c r="Q79" s="11">
        <v>7.7</v>
      </c>
    </row>
    <row r="80" spans="7:17" x14ac:dyDescent="0.3">
      <c r="G80" s="5">
        <v>79</v>
      </c>
      <c r="H80" s="5" cm="1">
        <f t="array" ref="H80">IF(MATCH($G80,$C$12:$C$19,1)=COLUMN(A:A),INDEX($D$2:$D$9,MATCH($G80,$C$12:$C$19,1)),0)</f>
        <v>0</v>
      </c>
      <c r="I80" s="5" cm="1">
        <f t="array" ref="I80">IF(MATCH($G80,$C$12:$C$19,1)=COLUMN(B:B),INDEX($D$2:$D$9,MATCH($G80,$C$12:$C$19,1)),0)</f>
        <v>0</v>
      </c>
      <c r="J80" s="5" cm="1">
        <f t="array" ref="J80">IF(MATCH($G80,$C$12:$C$19,1)=COLUMN(C:C),INDEX($D$2:$D$9,MATCH($G80,$C$12:$C$19,1)),0)</f>
        <v>0</v>
      </c>
      <c r="K80" s="5" cm="1">
        <f t="array" ref="K80">IF(MATCH($G80,$C$12:$C$19,1)=COLUMN(D:D),INDEX($D$2:$D$9,MATCH($G80,$C$12:$C$19,1)),0)</f>
        <v>0</v>
      </c>
      <c r="L80" s="5" cm="1">
        <f t="array" ref="L80">IF(MATCH($G80,$C$12:$C$19,1)=COLUMN(E:E),INDEX($D$2:$D$9,MATCH($G80,$C$12:$C$19,1)),0)</f>
        <v>0</v>
      </c>
      <c r="M80" s="5" cm="1">
        <f t="array" ref="M80">IF(MATCH($G80,$C$12:$C$19,1)=COLUMN(F:F),INDEX($D$2:$D$9,MATCH($G80,$C$12:$C$19,1)),0)</f>
        <v>0</v>
      </c>
      <c r="N80" s="5" cm="1">
        <f t="array" ref="N80">IF(MATCH($G80,$C$12:$C$19,1)=COLUMN(G:G),INDEX($D$2:$D$9,MATCH($G80,$C$12:$C$19,1)),0)</f>
        <v>0</v>
      </c>
      <c r="O80" s="21" cm="1">
        <f t="array" ref="O80">IF(MATCH($G80,$C$12:$C$19,1)=COLUMN(H:H),INDEX($D$2:$D$9,MATCH($G80,$C$12:$C$19,1)),0)</f>
        <v>1</v>
      </c>
      <c r="P80" s="21">
        <f t="shared" si="1"/>
        <v>4.4000000000000004</v>
      </c>
      <c r="Q80" s="11">
        <v>7.8</v>
      </c>
    </row>
    <row r="81" spans="7:17" x14ac:dyDescent="0.3">
      <c r="G81" s="5">
        <v>80</v>
      </c>
      <c r="H81" s="5" cm="1">
        <f t="array" ref="H81">IF(MATCH($G81,$C$12:$C$19,1)=COLUMN(A:A),INDEX($D$2:$D$9,MATCH($G81,$C$12:$C$19,1)),0)</f>
        <v>0</v>
      </c>
      <c r="I81" s="5" cm="1">
        <f t="array" ref="I81">IF(MATCH($G81,$C$12:$C$19,1)=COLUMN(B:B),INDEX($D$2:$D$9,MATCH($G81,$C$12:$C$19,1)),0)</f>
        <v>0</v>
      </c>
      <c r="J81" s="5" cm="1">
        <f t="array" ref="J81">IF(MATCH($G81,$C$12:$C$19,1)=COLUMN(C:C),INDEX($D$2:$D$9,MATCH($G81,$C$12:$C$19,1)),0)</f>
        <v>0</v>
      </c>
      <c r="K81" s="5" cm="1">
        <f t="array" ref="K81">IF(MATCH($G81,$C$12:$C$19,1)=COLUMN(D:D),INDEX($D$2:$D$9,MATCH($G81,$C$12:$C$19,1)),0)</f>
        <v>0</v>
      </c>
      <c r="L81" s="5" cm="1">
        <f t="array" ref="L81">IF(MATCH($G81,$C$12:$C$19,1)=COLUMN(E:E),INDEX($D$2:$D$9,MATCH($G81,$C$12:$C$19,1)),0)</f>
        <v>0</v>
      </c>
      <c r="M81" s="5" cm="1">
        <f t="array" ref="M81">IF(MATCH($G81,$C$12:$C$19,1)=COLUMN(F:F),INDEX($D$2:$D$9,MATCH($G81,$C$12:$C$19,1)),0)</f>
        <v>0</v>
      </c>
      <c r="N81" s="5" cm="1">
        <f t="array" ref="N81">IF(MATCH($G81,$C$12:$C$19,1)=COLUMN(G:G),INDEX($D$2:$D$9,MATCH($G81,$C$12:$C$19,1)),0)</f>
        <v>0</v>
      </c>
      <c r="O81" s="21" cm="1">
        <f t="array" ref="O81">IF(MATCH($G81,$C$12:$C$19,1)=COLUMN(H:H),INDEX($D$2:$D$9,MATCH($G81,$C$12:$C$19,1)),0)</f>
        <v>1</v>
      </c>
      <c r="P81" s="21">
        <f t="shared" si="1"/>
        <v>4.4000000000000004</v>
      </c>
      <c r="Q81" s="11">
        <v>7.9</v>
      </c>
    </row>
  </sheetData>
  <mergeCells count="1">
    <mergeCell ref="A21:E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对比堆积柱形图</vt:lpstr>
      <vt:lpstr>单元图</vt:lpstr>
      <vt:lpstr>簇状堆积柱形图</vt:lpstr>
      <vt:lpstr>不等宽柱形图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李集达</dc:creator>
  <cp:lastModifiedBy>李集达</cp:lastModifiedBy>
  <dcterms:created xsi:type="dcterms:W3CDTF">2025-10-16T06:20:32Z</dcterms:created>
  <dcterms:modified xsi:type="dcterms:W3CDTF">2025-11-02T01:55:34Z</dcterms:modified>
</cp:coreProperties>
</file>